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st\Desktop\EPICODE\M1\WEEK.1\"/>
    </mc:Choice>
  </mc:AlternateContent>
  <xr:revisionPtr revIDLastSave="0" documentId="13_ncr:1_{FDCB93D2-5D44-4A4B-8CC5-078858A2ED6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8" i="2" s="1"/>
  <c r="I4" i="2"/>
  <c r="I7" i="2"/>
  <c r="I6" i="2"/>
  <c r="I5" i="2"/>
  <c r="D6" i="2"/>
  <c r="H3" i="2"/>
  <c r="D3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2" i="2"/>
  <c r="C47" i="2"/>
  <c r="C46" i="2"/>
  <c r="C37" i="2"/>
  <c r="C32" i="2"/>
  <c r="C25" i="2"/>
  <c r="H7" i="2" s="1"/>
  <c r="C20" i="2"/>
  <c r="H4" i="2" s="1"/>
  <c r="C17" i="2"/>
  <c r="H6" i="2" s="1"/>
  <c r="C13" i="2"/>
  <c r="C9" i="2"/>
  <c r="H5" i="2" s="1"/>
  <c r="C2" i="2"/>
  <c r="G7" i="2"/>
  <c r="G6" i="2"/>
  <c r="G5" i="2"/>
  <c r="G4" i="2"/>
  <c r="G3" i="2"/>
  <c r="D9" i="1" a="1"/>
  <c r="D9" i="1" s="1"/>
  <c r="D23" i="1" a="1"/>
  <c r="D23" i="1" s="1"/>
  <c r="D61" i="1" a="1"/>
  <c r="D61" i="1" s="1"/>
  <c r="D93" i="1" a="1"/>
  <c r="D93" i="1"/>
  <c r="D94" i="1" a="1"/>
  <c r="D94" i="1" s="1"/>
  <c r="C9" i="1" a="1"/>
  <c r="C9" i="1"/>
  <c r="C10" i="1" a="1"/>
  <c r="C10" i="1"/>
  <c r="D10" i="1" s="1" a="1"/>
  <c r="D10" i="1" s="1"/>
  <c r="C14" i="1" a="1"/>
  <c r="C14" i="1"/>
  <c r="D14" i="1" s="1" a="1"/>
  <c r="D14" i="1" s="1"/>
  <c r="C22" i="1" a="1"/>
  <c r="C22" i="1" s="1"/>
  <c r="D22" i="1" s="1" a="1"/>
  <c r="D22" i="1" s="1"/>
  <c r="C23" i="1" a="1"/>
  <c r="C23" i="1"/>
  <c r="C24" i="1" a="1"/>
  <c r="C24" i="1"/>
  <c r="D24" i="1" s="1" a="1"/>
  <c r="D24" i="1" s="1"/>
  <c r="C25" i="1" a="1"/>
  <c r="C25" i="1"/>
  <c r="D25" i="1" s="1" a="1"/>
  <c r="D25" i="1" s="1"/>
  <c r="C26" i="1" a="1"/>
  <c r="C26" i="1" s="1"/>
  <c r="D26" i="1" s="1" a="1"/>
  <c r="D26" i="1" s="1"/>
  <c r="C28" i="1" a="1"/>
  <c r="C28" i="1" s="1"/>
  <c r="D28" i="1" s="1" a="1"/>
  <c r="D28" i="1" s="1"/>
  <c r="C29" i="1" a="1"/>
  <c r="C29" i="1"/>
  <c r="D29" i="1" s="1" a="1"/>
  <c r="D29" i="1" s="1"/>
  <c r="C30" i="1" a="1"/>
  <c r="C30" i="1"/>
  <c r="D30" i="1" s="1" a="1"/>
  <c r="D30" i="1" s="1"/>
  <c r="C40" i="1" a="1"/>
  <c r="C40" i="1" s="1"/>
  <c r="D40" i="1" s="1" a="1"/>
  <c r="D40" i="1" s="1"/>
  <c r="C41" i="1" a="1"/>
  <c r="C41" i="1" s="1"/>
  <c r="D41" i="1" s="1" a="1"/>
  <c r="D41" i="1" s="1"/>
  <c r="C42" i="1" a="1"/>
  <c r="C42" i="1" s="1"/>
  <c r="D42" i="1" s="1" a="1"/>
  <c r="D42" i="1" s="1"/>
  <c r="C46" i="1" a="1"/>
  <c r="C46" i="1" s="1"/>
  <c r="D46" i="1" s="1" a="1"/>
  <c r="D46" i="1" s="1"/>
  <c r="C47" i="1" a="1"/>
  <c r="C47" i="1" s="1"/>
  <c r="D47" i="1" s="1" a="1"/>
  <c r="D47" i="1" s="1"/>
  <c r="C54" i="1" a="1"/>
  <c r="C54" i="1" s="1"/>
  <c r="D54" i="1" s="1" a="1"/>
  <c r="D54" i="1" s="1"/>
  <c r="C55" i="1" a="1"/>
  <c r="C55" i="1"/>
  <c r="D55" i="1" s="1" a="1"/>
  <c r="D55" i="1" s="1"/>
  <c r="C56" i="1" a="1"/>
  <c r="C56" i="1"/>
  <c r="D56" i="1" s="1" a="1"/>
  <c r="D56" i="1" s="1"/>
  <c r="C57" i="1" a="1"/>
  <c r="C57" i="1"/>
  <c r="D57" i="1" s="1" a="1"/>
  <c r="D57" i="1" s="1"/>
  <c r="C58" i="1" a="1"/>
  <c r="C58" i="1"/>
  <c r="D58" i="1" s="1" a="1"/>
  <c r="D58" i="1" s="1"/>
  <c r="C59" i="1" a="1"/>
  <c r="C59" i="1" s="1"/>
  <c r="D59" i="1" s="1" a="1"/>
  <c r="D59" i="1" s="1"/>
  <c r="C61" i="1" a="1"/>
  <c r="C61" i="1"/>
  <c r="C62" i="1" a="1"/>
  <c r="C62" i="1"/>
  <c r="D62" i="1" s="1" a="1"/>
  <c r="D62" i="1" s="1"/>
  <c r="C63" i="1" a="1"/>
  <c r="C63" i="1"/>
  <c r="D63" i="1" s="1" a="1"/>
  <c r="D63" i="1" s="1"/>
  <c r="C68" i="1" a="1"/>
  <c r="C68" i="1" s="1"/>
  <c r="D68" i="1" s="1" a="1"/>
  <c r="D68" i="1" s="1"/>
  <c r="C78" i="1" a="1"/>
  <c r="C78" i="1"/>
  <c r="D78" i="1" s="1" a="1"/>
  <c r="D78" i="1" s="1"/>
  <c r="C79" i="1" a="1"/>
  <c r="C79" i="1" s="1"/>
  <c r="D79" i="1" s="1" a="1"/>
  <c r="D79" i="1" s="1"/>
  <c r="C86" i="1" a="1"/>
  <c r="C86" i="1" s="1"/>
  <c r="D86" i="1" s="1" a="1"/>
  <c r="D86" i="1" s="1"/>
  <c r="C87" i="1" a="1"/>
  <c r="C87" i="1"/>
  <c r="D87" i="1" s="1" a="1"/>
  <c r="D87" i="1" s="1"/>
  <c r="C88" i="1" a="1"/>
  <c r="C88" i="1"/>
  <c r="D88" i="1" s="1" a="1"/>
  <c r="D88" i="1" s="1"/>
  <c r="C89" i="1" a="1"/>
  <c r="C89" i="1"/>
  <c r="D89" i="1" s="1" a="1"/>
  <c r="D89" i="1" s="1"/>
  <c r="C90" i="1" a="1"/>
  <c r="C90" i="1"/>
  <c r="D90" i="1" s="1" a="1"/>
  <c r="D90" i="1" s="1"/>
  <c r="C91" i="1" a="1"/>
  <c r="C91" i="1"/>
  <c r="D91" i="1" s="1" a="1"/>
  <c r="D91" i="1" s="1"/>
  <c r="C93" i="1" a="1"/>
  <c r="C93" i="1"/>
  <c r="C94" i="1" a="1"/>
  <c r="C94" i="1"/>
  <c r="C95" i="1" a="1"/>
  <c r="C95" i="1"/>
  <c r="D95" i="1" s="1" a="1"/>
  <c r="D95" i="1" s="1"/>
  <c r="E3" i="1"/>
  <c r="C3" i="1" s="1" a="1"/>
  <c r="C3" i="1" s="1"/>
  <c r="D3" i="1" s="1" a="1"/>
  <c r="D3" i="1" s="1"/>
  <c r="E4" i="1"/>
  <c r="C4" i="1" s="1" a="1"/>
  <c r="C4" i="1" s="1"/>
  <c r="D4" i="1" s="1" a="1"/>
  <c r="D4" i="1" s="1"/>
  <c r="E5" i="1"/>
  <c r="C5" i="1" s="1" a="1"/>
  <c r="C5" i="1" s="1"/>
  <c r="D5" i="1" s="1" a="1"/>
  <c r="D5" i="1" s="1"/>
  <c r="E6" i="1"/>
  <c r="C6" i="1" s="1" a="1"/>
  <c r="C6" i="1" s="1"/>
  <c r="D6" i="1" s="1" a="1"/>
  <c r="D6" i="1" s="1"/>
  <c r="E7" i="1"/>
  <c r="C7" i="1" s="1" a="1"/>
  <c r="C7" i="1" s="1"/>
  <c r="D7" i="1" s="1" a="1"/>
  <c r="D7" i="1" s="1"/>
  <c r="E8" i="1"/>
  <c r="C8" i="1" s="1" a="1"/>
  <c r="C8" i="1" s="1"/>
  <c r="D8" i="1" s="1" a="1"/>
  <c r="D8" i="1" s="1"/>
  <c r="E9" i="1"/>
  <c r="E10" i="1"/>
  <c r="E11" i="1"/>
  <c r="C11" i="1" s="1" a="1"/>
  <c r="C11" i="1" s="1"/>
  <c r="D11" i="1" s="1" a="1"/>
  <c r="D11" i="1" s="1"/>
  <c r="E12" i="1"/>
  <c r="C12" i="1" s="1" a="1"/>
  <c r="C12" i="1" s="1"/>
  <c r="D12" i="1" s="1" a="1"/>
  <c r="D12" i="1" s="1"/>
  <c r="E13" i="1"/>
  <c r="C13" i="1" s="1" a="1"/>
  <c r="C13" i="1" s="1"/>
  <c r="D13" i="1" s="1" a="1"/>
  <c r="D13" i="1" s="1"/>
  <c r="E14" i="1"/>
  <c r="E15" i="1"/>
  <c r="C15" i="1" s="1" a="1"/>
  <c r="C15" i="1" s="1"/>
  <c r="D15" i="1" s="1" a="1"/>
  <c r="D15" i="1" s="1"/>
  <c r="E16" i="1"/>
  <c r="C16" i="1" s="1" a="1"/>
  <c r="C16" i="1" s="1"/>
  <c r="D16" i="1" s="1" a="1"/>
  <c r="D16" i="1" s="1"/>
  <c r="E17" i="1"/>
  <c r="C17" i="1" s="1" a="1"/>
  <c r="C17" i="1" s="1"/>
  <c r="D17" i="1" s="1" a="1"/>
  <c r="D17" i="1" s="1"/>
  <c r="E18" i="1"/>
  <c r="C18" i="1" s="1" a="1"/>
  <c r="C18" i="1" s="1"/>
  <c r="D18" i="1" s="1" a="1"/>
  <c r="D18" i="1" s="1"/>
  <c r="E19" i="1"/>
  <c r="C19" i="1" s="1" a="1"/>
  <c r="C19" i="1" s="1"/>
  <c r="D19" i="1" s="1" a="1"/>
  <c r="D19" i="1" s="1"/>
  <c r="E20" i="1"/>
  <c r="C20" i="1" s="1" a="1"/>
  <c r="C20" i="1" s="1"/>
  <c r="D20" i="1" s="1" a="1"/>
  <c r="D20" i="1" s="1"/>
  <c r="E21" i="1"/>
  <c r="C21" i="1" s="1" a="1"/>
  <c r="C21" i="1" s="1"/>
  <c r="D21" i="1" s="1" a="1"/>
  <c r="D21" i="1" s="1"/>
  <c r="E22" i="1"/>
  <c r="E23" i="1"/>
  <c r="E24" i="1"/>
  <c r="E25" i="1"/>
  <c r="E26" i="1"/>
  <c r="E27" i="1"/>
  <c r="C27" i="1" s="1" a="1"/>
  <c r="C27" i="1" s="1"/>
  <c r="D27" i="1" s="1" a="1"/>
  <c r="D27" i="1" s="1"/>
  <c r="E28" i="1"/>
  <c r="E29" i="1"/>
  <c r="E30" i="1"/>
  <c r="E31" i="1"/>
  <c r="C31" i="1" s="1" a="1"/>
  <c r="C31" i="1" s="1"/>
  <c r="D31" i="1" s="1" a="1"/>
  <c r="D31" i="1" s="1"/>
  <c r="E32" i="1"/>
  <c r="C32" i="1" s="1" a="1"/>
  <c r="C32" i="1" s="1"/>
  <c r="D32" i="1" s="1" a="1"/>
  <c r="D32" i="1" s="1"/>
  <c r="E33" i="1"/>
  <c r="C33" i="1" s="1" a="1"/>
  <c r="C33" i="1" s="1"/>
  <c r="D33" i="1" s="1" a="1"/>
  <c r="D33" i="1" s="1"/>
  <c r="E34" i="1"/>
  <c r="C34" i="1" s="1" a="1"/>
  <c r="C34" i="1" s="1"/>
  <c r="D34" i="1" s="1" a="1"/>
  <c r="D34" i="1" s="1"/>
  <c r="E35" i="1"/>
  <c r="C35" i="1" s="1" a="1"/>
  <c r="C35" i="1" s="1"/>
  <c r="D35" i="1" s="1" a="1"/>
  <c r="D35" i="1" s="1"/>
  <c r="E36" i="1"/>
  <c r="C36" i="1" s="1" a="1"/>
  <c r="C36" i="1" s="1"/>
  <c r="D36" i="1" s="1" a="1"/>
  <c r="D36" i="1" s="1"/>
  <c r="E37" i="1"/>
  <c r="C37" i="1" s="1" a="1"/>
  <c r="C37" i="1" s="1"/>
  <c r="D37" i="1" s="1" a="1"/>
  <c r="D37" i="1" s="1"/>
  <c r="E38" i="1"/>
  <c r="C38" i="1" s="1" a="1"/>
  <c r="C38" i="1" s="1"/>
  <c r="D38" i="1" s="1" a="1"/>
  <c r="D38" i="1" s="1"/>
  <c r="E39" i="1"/>
  <c r="C39" i="1" s="1" a="1"/>
  <c r="C39" i="1" s="1"/>
  <c r="D39" i="1" s="1" a="1"/>
  <c r="D39" i="1" s="1"/>
  <c r="E40" i="1"/>
  <c r="E41" i="1"/>
  <c r="E42" i="1"/>
  <c r="E43" i="1"/>
  <c r="C43" i="1" s="1" a="1"/>
  <c r="C43" i="1" s="1"/>
  <c r="D43" i="1" s="1" a="1"/>
  <c r="D43" i="1" s="1"/>
  <c r="E44" i="1"/>
  <c r="C44" i="1" s="1" a="1"/>
  <c r="C44" i="1" s="1"/>
  <c r="D44" i="1" s="1" a="1"/>
  <c r="D44" i="1" s="1"/>
  <c r="E45" i="1"/>
  <c r="C45" i="1" s="1" a="1"/>
  <c r="C45" i="1" s="1"/>
  <c r="D45" i="1" s="1" a="1"/>
  <c r="D45" i="1" s="1"/>
  <c r="E46" i="1"/>
  <c r="E47" i="1"/>
  <c r="E48" i="1"/>
  <c r="C48" i="1" s="1" a="1"/>
  <c r="C48" i="1" s="1"/>
  <c r="D48" i="1" s="1" a="1"/>
  <c r="D48" i="1" s="1"/>
  <c r="E49" i="1"/>
  <c r="C49" i="1" s="1" a="1"/>
  <c r="C49" i="1" s="1"/>
  <c r="D49" i="1" s="1" a="1"/>
  <c r="D49" i="1" s="1"/>
  <c r="E50" i="1"/>
  <c r="C50" i="1" s="1" a="1"/>
  <c r="C50" i="1" s="1"/>
  <c r="D50" i="1" s="1" a="1"/>
  <c r="D50" i="1" s="1"/>
  <c r="E51" i="1"/>
  <c r="C51" i="1" s="1" a="1"/>
  <c r="C51" i="1" s="1"/>
  <c r="D51" i="1" s="1" a="1"/>
  <c r="D51" i="1" s="1"/>
  <c r="E52" i="1"/>
  <c r="C52" i="1" s="1" a="1"/>
  <c r="C52" i="1" s="1"/>
  <c r="D52" i="1" s="1" a="1"/>
  <c r="D52" i="1" s="1"/>
  <c r="E53" i="1"/>
  <c r="C53" i="1" s="1" a="1"/>
  <c r="C53" i="1" s="1"/>
  <c r="D53" i="1" s="1" a="1"/>
  <c r="D53" i="1" s="1"/>
  <c r="E54" i="1"/>
  <c r="E55" i="1"/>
  <c r="E56" i="1"/>
  <c r="E57" i="1"/>
  <c r="E58" i="1"/>
  <c r="E59" i="1"/>
  <c r="E60" i="1"/>
  <c r="C60" i="1" s="1" a="1"/>
  <c r="C60" i="1" s="1"/>
  <c r="D60" i="1" s="1" a="1"/>
  <c r="D60" i="1" s="1"/>
  <c r="E61" i="1"/>
  <c r="E62" i="1"/>
  <c r="E63" i="1"/>
  <c r="E64" i="1"/>
  <c r="C64" i="1" s="1" a="1"/>
  <c r="C64" i="1" s="1"/>
  <c r="D64" i="1" s="1" a="1"/>
  <c r="D64" i="1" s="1"/>
  <c r="E65" i="1"/>
  <c r="C65" i="1" s="1" a="1"/>
  <c r="C65" i="1" s="1"/>
  <c r="D65" i="1" s="1" a="1"/>
  <c r="D65" i="1" s="1"/>
  <c r="E66" i="1"/>
  <c r="C66" i="1" s="1" a="1"/>
  <c r="C66" i="1" s="1"/>
  <c r="D66" i="1" s="1" a="1"/>
  <c r="D66" i="1" s="1"/>
  <c r="E67" i="1"/>
  <c r="C67" i="1" s="1" a="1"/>
  <c r="C67" i="1" s="1"/>
  <c r="D67" i="1" s="1" a="1"/>
  <c r="D67" i="1" s="1"/>
  <c r="E68" i="1"/>
  <c r="E69" i="1"/>
  <c r="C69" i="1" s="1" a="1"/>
  <c r="C69" i="1" s="1"/>
  <c r="D69" i="1" s="1" a="1"/>
  <c r="D69" i="1" s="1"/>
  <c r="E70" i="1"/>
  <c r="C70" i="1" s="1" a="1"/>
  <c r="C70" i="1" s="1"/>
  <c r="D70" i="1" s="1" a="1"/>
  <c r="D70" i="1" s="1"/>
  <c r="E71" i="1"/>
  <c r="C71" i="1" s="1" a="1"/>
  <c r="C71" i="1" s="1"/>
  <c r="D71" i="1" s="1" a="1"/>
  <c r="D71" i="1" s="1"/>
  <c r="E72" i="1"/>
  <c r="C72" i="1" s="1" a="1"/>
  <c r="C72" i="1" s="1"/>
  <c r="D72" i="1" s="1" a="1"/>
  <c r="D72" i="1" s="1"/>
  <c r="E73" i="1"/>
  <c r="C73" i="1" s="1" a="1"/>
  <c r="C73" i="1" s="1"/>
  <c r="D73" i="1" s="1" a="1"/>
  <c r="D73" i="1" s="1"/>
  <c r="E74" i="1"/>
  <c r="C74" i="1" s="1" a="1"/>
  <c r="C74" i="1" s="1"/>
  <c r="D74" i="1" s="1" a="1"/>
  <c r="D74" i="1" s="1"/>
  <c r="E75" i="1"/>
  <c r="C75" i="1" s="1" a="1"/>
  <c r="C75" i="1" s="1"/>
  <c r="D75" i="1" s="1" a="1"/>
  <c r="D75" i="1" s="1"/>
  <c r="E76" i="1"/>
  <c r="C76" i="1" s="1" a="1"/>
  <c r="C76" i="1" s="1"/>
  <c r="D76" i="1" s="1" a="1"/>
  <c r="D76" i="1" s="1"/>
  <c r="E77" i="1"/>
  <c r="C77" i="1" s="1" a="1"/>
  <c r="C77" i="1" s="1"/>
  <c r="D77" i="1" s="1" a="1"/>
  <c r="D77" i="1" s="1"/>
  <c r="E78" i="1"/>
  <c r="E79" i="1"/>
  <c r="E80" i="1"/>
  <c r="C80" i="1" s="1" a="1"/>
  <c r="C80" i="1" s="1"/>
  <c r="D80" i="1" s="1" a="1"/>
  <c r="D80" i="1" s="1"/>
  <c r="E81" i="1"/>
  <c r="C81" i="1" s="1" a="1"/>
  <c r="C81" i="1" s="1"/>
  <c r="D81" i="1" s="1" a="1"/>
  <c r="D81" i="1" s="1"/>
  <c r="E82" i="1"/>
  <c r="C82" i="1" s="1" a="1"/>
  <c r="C82" i="1" s="1"/>
  <c r="D82" i="1" s="1" a="1"/>
  <c r="D82" i="1" s="1"/>
  <c r="E83" i="1"/>
  <c r="C83" i="1" s="1" a="1"/>
  <c r="C83" i="1" s="1"/>
  <c r="D83" i="1" s="1" a="1"/>
  <c r="D83" i="1" s="1"/>
  <c r="E84" i="1"/>
  <c r="C84" i="1" s="1" a="1"/>
  <c r="C84" i="1" s="1"/>
  <c r="D84" i="1" s="1" a="1"/>
  <c r="D84" i="1" s="1"/>
  <c r="E85" i="1"/>
  <c r="C85" i="1" s="1" a="1"/>
  <c r="C85" i="1" s="1"/>
  <c r="D85" i="1" s="1" a="1"/>
  <c r="D85" i="1" s="1"/>
  <c r="E86" i="1"/>
  <c r="E87" i="1"/>
  <c r="E88" i="1"/>
  <c r="E89" i="1"/>
  <c r="E90" i="1"/>
  <c r="E91" i="1"/>
  <c r="E92" i="1"/>
  <c r="C92" i="1" s="1" a="1"/>
  <c r="C92" i="1" s="1"/>
  <c r="D92" i="1" s="1" a="1"/>
  <c r="D92" i="1" s="1"/>
  <c r="E93" i="1"/>
  <c r="E94" i="1"/>
  <c r="E95" i="1"/>
  <c r="E96" i="1"/>
  <c r="C96" i="1" s="1" a="1"/>
  <c r="C96" i="1" s="1"/>
  <c r="D96" i="1" s="1" a="1"/>
  <c r="D96" i="1" s="1"/>
  <c r="E97" i="1"/>
  <c r="C97" i="1" s="1" a="1"/>
  <c r="C97" i="1" s="1"/>
  <c r="D97" i="1" s="1" a="1"/>
  <c r="D97" i="1" s="1"/>
  <c r="E98" i="1"/>
  <c r="C98" i="1" s="1" a="1"/>
  <c r="C98" i="1" s="1"/>
  <c r="D98" i="1" s="1" a="1"/>
  <c r="D98" i="1" s="1"/>
  <c r="E99" i="1"/>
  <c r="C99" i="1" s="1" a="1"/>
  <c r="C99" i="1" s="1"/>
  <c r="D99" i="1" s="1" a="1"/>
  <c r="D99" i="1" s="1"/>
  <c r="E100" i="1"/>
  <c r="C100" i="1" s="1" a="1"/>
  <c r="C100" i="1" s="1"/>
  <c r="D100" i="1" s="1" a="1"/>
  <c r="D100" i="1" s="1"/>
  <c r="E101" i="1"/>
  <c r="C101" i="1" s="1" a="1"/>
  <c r="C101" i="1" s="1"/>
  <c r="D101" i="1" s="1" a="1"/>
  <c r="D101" i="1" s="1"/>
  <c r="E2" i="1"/>
  <c r="C2" i="1" s="1" a="1"/>
  <c r="C2" i="1" s="1"/>
  <c r="D2" i="1" s="1" a="1"/>
  <c r="D2" i="1" s="1"/>
  <c r="H8" i="2" l="1"/>
  <c r="G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<sst xmlns="http://schemas.openxmlformats.org/spreadsheetml/2006/main" count="267" uniqueCount="138">
  <si>
    <t>TARGA</t>
  </si>
  <si>
    <t>ORE PARCHEGGIATE</t>
  </si>
  <si>
    <t>TIPOLOGIA VEICOLO</t>
  </si>
  <si>
    <t>COSTO</t>
  </si>
  <si>
    <t>AC234DF</t>
  </si>
  <si>
    <t>1.5</t>
  </si>
  <si>
    <t>LM789GH</t>
  </si>
  <si>
    <t>2.5</t>
  </si>
  <si>
    <t>PQ456IJ</t>
  </si>
  <si>
    <t>3.5</t>
  </si>
  <si>
    <t>UV123KL</t>
  </si>
  <si>
    <t>4.5</t>
  </si>
  <si>
    <t>WX789MN</t>
  </si>
  <si>
    <t>5.5</t>
  </si>
  <si>
    <t>YZ012OP</t>
  </si>
  <si>
    <t>6.5</t>
  </si>
  <si>
    <t>AB345QR</t>
  </si>
  <si>
    <t>7.5</t>
  </si>
  <si>
    <t>CD678ST</t>
  </si>
  <si>
    <t>8.5</t>
  </si>
  <si>
    <t>EF901UV</t>
  </si>
  <si>
    <t>9.5</t>
  </si>
  <si>
    <t>GH234WX</t>
  </si>
  <si>
    <t>10.0</t>
  </si>
  <si>
    <t>IJ567YZ</t>
  </si>
  <si>
    <t>0.5</t>
  </si>
  <si>
    <t>KL890AB</t>
  </si>
  <si>
    <t>1.0</t>
  </si>
  <si>
    <t>MN123CD</t>
  </si>
  <si>
    <t>2.0</t>
  </si>
  <si>
    <t>OP456EF</t>
  </si>
  <si>
    <t>3.0</t>
  </si>
  <si>
    <t>QR789GH</t>
  </si>
  <si>
    <t>4.0</t>
  </si>
  <si>
    <t>ST012IJ</t>
  </si>
  <si>
    <t>5.0</t>
  </si>
  <si>
    <t>UV345KL</t>
  </si>
  <si>
    <t>6.0</t>
  </si>
  <si>
    <t>WX678MN</t>
  </si>
  <si>
    <t>7.0</t>
  </si>
  <si>
    <t>YZ901OP</t>
  </si>
  <si>
    <t>8.0</t>
  </si>
  <si>
    <t>AB234QR</t>
  </si>
  <si>
    <t>9.0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</si>
  <si>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</si>
  <si>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</si>
  <si>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</si>
  <si>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</si>
  <si>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</si>
  <si>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</si>
  <si>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</si>
  <si>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</si>
  <si>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</si>
  <si>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</si>
  <si>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</si>
  <si>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</si>
  <si>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</si>
  <si>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</si>
  <si>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</si>
  <si>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</si>
  <si>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</si>
  <si>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</si>
  <si>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</si>
  <si>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</si>
  <si>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</si>
  <si>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</si>
  <si>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</si>
  <si>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</si>
  <si>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</si>
  <si>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</si>
  <si>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</si>
  <si>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</si>
  <si>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</si>
  <si>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</si>
  <si>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</si>
  <si>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</si>
  <si>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</si>
  <si>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</si>
  <si>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</si>
  <si>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</si>
  <si>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</si>
  <si>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</si>
  <si>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</si>
  <si>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</si>
  <si>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</si>
  <si>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</si>
  <si>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</si>
  <si>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</si>
  <si>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</si>
  <si>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</si>
  <si>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</si>
  <si>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</si>
  <si>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</si>
  <si>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</si>
  <si>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</si>
  <si>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</si>
  <si>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</si>
  <si>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</si>
  <si>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</si>
  <si>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</si>
  <si>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</si>
  <si>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</si>
  <si>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</si>
  <si>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</si>
  <si>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</si>
  <si>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</si>
  <si>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</si>
  <si>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</si>
  <si>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</si>
  <si>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</si>
  <si>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</si>
  <si>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</si>
  <si>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</si>
  <si>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</si>
  <si>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</si>
  <si>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</si>
  <si>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</si>
  <si>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</si>
  <si>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</si>
  <si>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</si>
  <si>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</si>
  <si>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</si>
  <si>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</si>
  <si>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</si>
  <si>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Mela</t>
  </si>
  <si>
    <t>Banana</t>
  </si>
  <si>
    <t>Arancia</t>
  </si>
  <si>
    <t>Pera</t>
  </si>
  <si>
    <t>Uva</t>
  </si>
  <si>
    <t>CATEGORIA</t>
  </si>
  <si>
    <t>COSTO PARCHEGGIO [30min]</t>
  </si>
  <si>
    <t>QTà</t>
  </si>
  <si>
    <t>PESO [gr]</t>
  </si>
  <si>
    <t>COSTO [€]</t>
  </si>
  <si>
    <t>QTà FRUTTA BIG [x&gt;80gr]</t>
  </si>
  <si>
    <t>&gt;80</t>
  </si>
  <si>
    <t>COSTO FRUTTA BIG [x&gt;80gr]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</si>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</sst>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44" fontId="0" fillId="0" borderId="0" xfId="1" applyFont="1"/>
    <xf numFmtId="0" fontId="7" fillId="0" borderId="0" xfId="0" applyFont="1"/>
    <xf numFmtId="0" fontId="0" fillId="0" borderId="0" xfId="0" quotePrefix="1"/>
    <xf numFmtId="0" fontId="6" fillId="0" borderId="1" xfId="0" applyFont="1" applyBorder="1"/>
    <xf numFmtId="0" fontId="0" fillId="0" borderId="1" xfId="0" applyBorder="1"/>
    <xf numFmtId="44" fontId="0" fillId="0" borderId="1" xfId="1" applyFont="1" applyBorder="1"/>
    <xf numFmtId="0" fontId="7" fillId="2" borderId="1" xfId="0" applyFont="1" applyFill="1" applyBorder="1"/>
    <xf numFmtId="0" fontId="1" fillId="2" borderId="0" xfId="0" applyFont="1" applyFill="1"/>
    <xf numFmtId="0" fontId="1" fillId="2" borderId="1" xfId="0" applyFont="1" applyFill="1" applyBorder="1"/>
    <xf numFmtId="0" fontId="4" fillId="2" borderId="1" xfId="0" applyFont="1" applyFill="1" applyBorder="1"/>
    <xf numFmtId="0" fontId="2" fillId="0" borderId="1" xfId="0" applyFont="1" applyBorder="1"/>
    <xf numFmtId="44" fontId="2" fillId="0" borderId="1" xfId="1" applyFont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zoomScale="115" zoomScaleNormal="115" workbookViewId="0">
      <selection activeCell="G11" sqref="G11"/>
    </sheetView>
  </sheetViews>
  <sheetFormatPr defaultColWidth="12.6328125" defaultRowHeight="15.75" customHeight="1" x14ac:dyDescent="0.25"/>
  <cols>
    <col min="2" max="2" width="25.36328125" customWidth="1"/>
    <col min="3" max="3" width="21.36328125" bestFit="1" customWidth="1"/>
    <col min="4" max="4" width="22.7265625" customWidth="1"/>
    <col min="8" max="8" width="26.7265625" bestFit="1" customWidth="1"/>
  </cols>
  <sheetData>
    <row r="1" spans="1:26" ht="14" x14ac:dyDescent="0.3">
      <c r="A1" s="12" t="s">
        <v>0</v>
      </c>
      <c r="B1" s="12" t="s">
        <v>1</v>
      </c>
      <c r="C1" s="12" t="s">
        <v>2</v>
      </c>
      <c r="D1" s="1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4</v>
      </c>
      <c r="B2" s="2" t="s">
        <v>5</v>
      </c>
      <c r="C2" s="4" cm="1">
        <f t="array" ref="C2">_xlfn.IFS(E2&lt;"G",0,E2&lt;"N",1,E2&lt;="Z",2)</f>
        <v>0</v>
      </c>
      <c r="D2" s="5" cm="1">
        <f t="array" ref="D2">_xlfn.IFS(C2=0,2,C2=1,1.5,C2=2,1)</f>
        <v>2</v>
      </c>
      <c r="E2" t="str">
        <f>LEFT(A2,1)</f>
        <v>A</v>
      </c>
      <c r="G2" s="4"/>
    </row>
    <row r="3" spans="1:26" ht="15.75" customHeight="1" x14ac:dyDescent="0.3">
      <c r="A3" s="2" t="s">
        <v>6</v>
      </c>
      <c r="B3" s="2" t="s">
        <v>7</v>
      </c>
      <c r="C3" s="4" cm="1">
        <f t="array" ref="C3">_xlfn.IFS(E3&lt;"G",0,E3&lt;"N",1,E3&lt;="Z",2)</f>
        <v>1</v>
      </c>
      <c r="D3" s="5" cm="1">
        <f t="array" ref="D3">_xlfn.IFS(C3=0,2,C3=1,1.5,C3=2,1)</f>
        <v>1.5</v>
      </c>
      <c r="E3" t="str">
        <f t="shared" ref="E3:E66" si="0">LEFT(A3,1)</f>
        <v>L</v>
      </c>
      <c r="G3" s="11" t="s">
        <v>129</v>
      </c>
      <c r="H3" s="11" t="s">
        <v>130</v>
      </c>
    </row>
    <row r="4" spans="1:26" ht="15.75" customHeight="1" x14ac:dyDescent="0.25">
      <c r="A4" s="2" t="s">
        <v>8</v>
      </c>
      <c r="B4" s="2" t="s">
        <v>9</v>
      </c>
      <c r="C4" s="4" cm="1">
        <f t="array" ref="C4">_xlfn.IFS(E4&lt;"G",0,E4&lt;"N",1,E4&lt;="Z",2)</f>
        <v>2</v>
      </c>
      <c r="D4" s="5" cm="1">
        <f t="array" ref="D4">_xlfn.IFS(C4=0,2,C4=1,1.5,C4=2,1)</f>
        <v>1</v>
      </c>
      <c r="E4" s="4" t="str">
        <f t="shared" si="0"/>
        <v>P</v>
      </c>
      <c r="G4" s="9">
        <v>0</v>
      </c>
      <c r="H4" s="10">
        <v>2</v>
      </c>
    </row>
    <row r="5" spans="1:26" ht="15.75" customHeight="1" x14ac:dyDescent="0.25">
      <c r="A5" s="2" t="s">
        <v>10</v>
      </c>
      <c r="B5" s="2" t="s">
        <v>11</v>
      </c>
      <c r="C5" s="4" cm="1">
        <f t="array" ref="C5">_xlfn.IFS(E5&lt;"G",0,E5&lt;"N",1,E5&lt;="Z",2)</f>
        <v>2</v>
      </c>
      <c r="D5" s="5" cm="1">
        <f t="array" ref="D5">_xlfn.IFS(C5=0,2,C5=1,1.5,C5=2,1)</f>
        <v>1</v>
      </c>
      <c r="E5" t="str">
        <f t="shared" si="0"/>
        <v>U</v>
      </c>
      <c r="F5" s="3"/>
      <c r="G5" s="9">
        <v>1</v>
      </c>
      <c r="H5" s="10">
        <v>1.5</v>
      </c>
    </row>
    <row r="6" spans="1:26" ht="15.75" customHeight="1" x14ac:dyDescent="0.25">
      <c r="A6" s="2" t="s">
        <v>12</v>
      </c>
      <c r="B6" s="2" t="s">
        <v>13</v>
      </c>
      <c r="C6" s="4" cm="1">
        <f t="array" ref="C6">_xlfn.IFS(E6&lt;"G",0,E6&lt;"N",1,E6&lt;="Z",2)</f>
        <v>2</v>
      </c>
      <c r="D6" s="5" cm="1">
        <f t="array" ref="D6">_xlfn.IFS(C6=0,2,C6=1,1.5,C6=2,1)</f>
        <v>1</v>
      </c>
      <c r="E6" t="str">
        <f t="shared" si="0"/>
        <v>W</v>
      </c>
      <c r="G6" s="9">
        <v>2</v>
      </c>
      <c r="H6" s="10">
        <v>1</v>
      </c>
    </row>
    <row r="7" spans="1:26" ht="15.75" customHeight="1" x14ac:dyDescent="0.25">
      <c r="A7" s="2" t="s">
        <v>14</v>
      </c>
      <c r="B7" s="2" t="s">
        <v>15</v>
      </c>
      <c r="C7" s="4" cm="1">
        <f t="array" ref="C7">_xlfn.IFS(E7&lt;"G",0,E7&lt;"N",1,E7&lt;="Z",2)</f>
        <v>2</v>
      </c>
      <c r="D7" s="5" cm="1">
        <f t="array" ref="D7">_xlfn.IFS(C7=0,2,C7=1,1.5,C7=2,1)</f>
        <v>1</v>
      </c>
      <c r="E7" t="str">
        <f t="shared" si="0"/>
        <v>Y</v>
      </c>
    </row>
    <row r="8" spans="1:26" ht="15.75" customHeight="1" x14ac:dyDescent="0.25">
      <c r="A8" s="2" t="s">
        <v>16</v>
      </c>
      <c r="B8" s="2" t="s">
        <v>17</v>
      </c>
      <c r="C8" s="4" cm="1">
        <f t="array" ref="C8">_xlfn.IFS(E8&lt;"G",0,E8&lt;"N",1,E8&lt;="Z",2)</f>
        <v>0</v>
      </c>
      <c r="D8" s="5" cm="1">
        <f t="array" ref="D8">_xlfn.IFS(C8=0,2,C8=1,1.5,C8=2,1)</f>
        <v>2</v>
      </c>
      <c r="E8" t="str">
        <f t="shared" si="0"/>
        <v>A</v>
      </c>
    </row>
    <row r="9" spans="1:26" ht="15.75" customHeight="1" x14ac:dyDescent="0.25">
      <c r="A9" s="2" t="s">
        <v>18</v>
      </c>
      <c r="B9" s="2" t="s">
        <v>19</v>
      </c>
      <c r="C9" s="4" cm="1">
        <f t="array" ref="C9">_xlfn.IFS(E9&lt;"G",0,E9&lt;"N",1,E9&lt;="Z",2)</f>
        <v>0</v>
      </c>
      <c r="D9" s="5" cm="1">
        <f t="array" ref="D9">_xlfn.IFS(C9=0,2,C9=1,1.5,C9=2,1)</f>
        <v>2</v>
      </c>
      <c r="E9" t="str">
        <f t="shared" si="0"/>
        <v>C</v>
      </c>
    </row>
    <row r="10" spans="1:26" ht="15.75" customHeight="1" x14ac:dyDescent="0.25">
      <c r="A10" s="2" t="s">
        <v>20</v>
      </c>
      <c r="B10" s="2" t="s">
        <v>21</v>
      </c>
      <c r="C10" s="4" cm="1">
        <f t="array" ref="C10">_xlfn.IFS(E10&lt;"G",0,E10&lt;"N",1,E10&lt;="Z",2)</f>
        <v>0</v>
      </c>
      <c r="D10" s="5" cm="1">
        <f t="array" ref="D10">_xlfn.IFS(C10=0,2,C10=1,1.5,C10=2,1)</f>
        <v>2</v>
      </c>
      <c r="E10" t="str">
        <f t="shared" si="0"/>
        <v>E</v>
      </c>
    </row>
    <row r="11" spans="1:26" ht="15.75" customHeight="1" x14ac:dyDescent="0.25">
      <c r="A11" s="2" t="s">
        <v>22</v>
      </c>
      <c r="B11" s="2" t="s">
        <v>23</v>
      </c>
      <c r="C11" s="4" cm="1">
        <f t="array" ref="C11">_xlfn.IFS(E11&lt;"G",0,E11&lt;"N",1,E11&lt;="Z",2)</f>
        <v>1</v>
      </c>
      <c r="D11" s="5" cm="1">
        <f t="array" ref="D11">_xlfn.IFS(C11=0,2,C11=1,1.5,C11=2,1)</f>
        <v>1.5</v>
      </c>
      <c r="E11" t="str">
        <f t="shared" si="0"/>
        <v>G</v>
      </c>
    </row>
    <row r="12" spans="1:26" ht="15.75" customHeight="1" x14ac:dyDescent="0.25">
      <c r="A12" s="2" t="s">
        <v>24</v>
      </c>
      <c r="B12" s="2" t="s">
        <v>25</v>
      </c>
      <c r="C12" s="4" cm="1">
        <f t="array" ref="C12">_xlfn.IFS(E12&lt;"G",0,E12&lt;"N",1,E12&lt;="Z",2)</f>
        <v>1</v>
      </c>
      <c r="D12" s="5" cm="1">
        <f t="array" ref="D12">_xlfn.IFS(C12=0,2,C12=1,1.5,C12=2,1)</f>
        <v>1.5</v>
      </c>
      <c r="E12" t="str">
        <f t="shared" si="0"/>
        <v>I</v>
      </c>
    </row>
    <row r="13" spans="1:26" ht="15.75" customHeight="1" x14ac:dyDescent="0.25">
      <c r="A13" s="2" t="s">
        <v>26</v>
      </c>
      <c r="B13" s="2" t="s">
        <v>27</v>
      </c>
      <c r="C13" s="4" cm="1">
        <f t="array" ref="C13">_xlfn.IFS(E13&lt;"G",0,E13&lt;"N",1,E13&lt;="Z",2)</f>
        <v>1</v>
      </c>
      <c r="D13" s="5" cm="1">
        <f t="array" ref="D13">_xlfn.IFS(C13=0,2,C13=1,1.5,C13=2,1)</f>
        <v>1.5</v>
      </c>
      <c r="E13" t="str">
        <f t="shared" si="0"/>
        <v>K</v>
      </c>
    </row>
    <row r="14" spans="1:26" ht="15.75" customHeight="1" x14ac:dyDescent="0.25">
      <c r="A14" s="2" t="s">
        <v>28</v>
      </c>
      <c r="B14" s="2" t="s">
        <v>29</v>
      </c>
      <c r="C14" s="4" cm="1">
        <f t="array" ref="C14">_xlfn.IFS(E14&lt;"G",0,E14&lt;"N",1,E14&lt;="Z",2)</f>
        <v>1</v>
      </c>
      <c r="D14" s="5" cm="1">
        <f t="array" ref="D14">_xlfn.IFS(C14=0,2,C14=1,1.5,C14=2,1)</f>
        <v>1.5</v>
      </c>
      <c r="E14" t="str">
        <f t="shared" si="0"/>
        <v>M</v>
      </c>
    </row>
    <row r="15" spans="1:26" ht="15.75" customHeight="1" x14ac:dyDescent="0.25">
      <c r="A15" s="2" t="s">
        <v>30</v>
      </c>
      <c r="B15" s="2" t="s">
        <v>31</v>
      </c>
      <c r="C15" s="4" cm="1">
        <f t="array" ref="C15">_xlfn.IFS(E15&lt;"G",0,E15&lt;"N",1,E15&lt;="Z",2)</f>
        <v>2</v>
      </c>
      <c r="D15" s="5" cm="1">
        <f t="array" ref="D15">_xlfn.IFS(C15=0,2,C15=1,1.5,C15=2,1)</f>
        <v>1</v>
      </c>
      <c r="E15" t="str">
        <f t="shared" si="0"/>
        <v>O</v>
      </c>
    </row>
    <row r="16" spans="1:26" ht="15.75" customHeight="1" x14ac:dyDescent="0.25">
      <c r="A16" s="2" t="s">
        <v>32</v>
      </c>
      <c r="B16" s="2" t="s">
        <v>33</v>
      </c>
      <c r="C16" s="4" cm="1">
        <f t="array" ref="C16">_xlfn.IFS(E16&lt;"G",0,E16&lt;"N",1,E16&lt;="Z",2)</f>
        <v>2</v>
      </c>
      <c r="D16" s="5" cm="1">
        <f t="array" ref="D16">_xlfn.IFS(C16=0,2,C16=1,1.5,C16=2,1)</f>
        <v>1</v>
      </c>
      <c r="E16" t="str">
        <f t="shared" si="0"/>
        <v>Q</v>
      </c>
    </row>
    <row r="17" spans="1:5" ht="15.75" customHeight="1" x14ac:dyDescent="0.25">
      <c r="A17" s="2" t="s">
        <v>34</v>
      </c>
      <c r="B17" s="2" t="s">
        <v>35</v>
      </c>
      <c r="C17" s="4" cm="1">
        <f t="array" ref="C17">_xlfn.IFS(E17&lt;"G",0,E17&lt;"N",1,E17&lt;="Z",2)</f>
        <v>2</v>
      </c>
      <c r="D17" s="5" cm="1">
        <f t="array" ref="D17">_xlfn.IFS(C17=0,2,C17=1,1.5,C17=2,1)</f>
        <v>1</v>
      </c>
      <c r="E17" t="str">
        <f t="shared" si="0"/>
        <v>S</v>
      </c>
    </row>
    <row r="18" spans="1:5" ht="15.75" customHeight="1" x14ac:dyDescent="0.25">
      <c r="A18" s="2" t="s">
        <v>36</v>
      </c>
      <c r="B18" s="2" t="s">
        <v>37</v>
      </c>
      <c r="C18" s="4" cm="1">
        <f t="array" ref="C18">_xlfn.IFS(E18&lt;"G",0,E18&lt;"N",1,E18&lt;="Z",2)</f>
        <v>2</v>
      </c>
      <c r="D18" s="5" cm="1">
        <f t="array" ref="D18">_xlfn.IFS(C18=0,2,C18=1,1.5,C18=2,1)</f>
        <v>1</v>
      </c>
      <c r="E18" t="str">
        <f t="shared" si="0"/>
        <v>U</v>
      </c>
    </row>
    <row r="19" spans="1:5" ht="15.75" customHeight="1" x14ac:dyDescent="0.25">
      <c r="A19" s="2" t="s">
        <v>38</v>
      </c>
      <c r="B19" s="2" t="s">
        <v>39</v>
      </c>
      <c r="C19" s="4" cm="1">
        <f t="array" ref="C19">_xlfn.IFS(E19&lt;"G",0,E19&lt;"N",1,E19&lt;="Z",2)</f>
        <v>2</v>
      </c>
      <c r="D19" s="5" cm="1">
        <f t="array" ref="D19">_xlfn.IFS(C19=0,2,C19=1,1.5,C19=2,1)</f>
        <v>1</v>
      </c>
      <c r="E19" t="str">
        <f t="shared" si="0"/>
        <v>W</v>
      </c>
    </row>
    <row r="20" spans="1:5" ht="15.75" customHeight="1" x14ac:dyDescent="0.25">
      <c r="A20" s="2" t="s">
        <v>40</v>
      </c>
      <c r="B20" s="2" t="s">
        <v>41</v>
      </c>
      <c r="C20" s="4" cm="1">
        <f t="array" ref="C20">_xlfn.IFS(E20&lt;"G",0,E20&lt;"N",1,E20&lt;="Z",2)</f>
        <v>2</v>
      </c>
      <c r="D20" s="5" cm="1">
        <f t="array" ref="D20">_xlfn.IFS(C20=0,2,C20=1,1.5,C20=2,1)</f>
        <v>1</v>
      </c>
      <c r="E20" t="str">
        <f t="shared" si="0"/>
        <v>Y</v>
      </c>
    </row>
    <row r="21" spans="1:5" ht="15.75" customHeight="1" x14ac:dyDescent="0.25">
      <c r="A21" s="2" t="s">
        <v>42</v>
      </c>
      <c r="B21" s="2" t="s">
        <v>43</v>
      </c>
      <c r="C21" s="4" cm="1">
        <f t="array" ref="C21">_xlfn.IFS(E21&lt;"G",0,E21&lt;"N",1,E21&lt;="Z",2)</f>
        <v>0</v>
      </c>
      <c r="D21" s="5" cm="1">
        <f t="array" ref="D21">_xlfn.IFS(C21=0,2,C21=1,1.5,C21=2,1)</f>
        <v>2</v>
      </c>
      <c r="E21" t="str">
        <f t="shared" si="0"/>
        <v>A</v>
      </c>
    </row>
    <row r="22" spans="1:5" ht="15.75" customHeight="1" x14ac:dyDescent="0.25">
      <c r="A22" s="2" t="s">
        <v>44</v>
      </c>
      <c r="B22" s="2" t="s">
        <v>23</v>
      </c>
      <c r="C22" s="4" cm="1">
        <f t="array" ref="C22">_xlfn.IFS(E22&lt;"G",0,E22&lt;"N",1,E22&lt;="Z",2)</f>
        <v>0</v>
      </c>
      <c r="D22" s="5" cm="1">
        <f t="array" ref="D22">_xlfn.IFS(C22=0,2,C22=1,1.5,C22=2,1)</f>
        <v>2</v>
      </c>
      <c r="E22" t="str">
        <f t="shared" si="0"/>
        <v>C</v>
      </c>
    </row>
    <row r="23" spans="1:5" ht="15.75" customHeight="1" x14ac:dyDescent="0.25">
      <c r="A23" s="2" t="s">
        <v>45</v>
      </c>
      <c r="B23" s="2" t="s">
        <v>25</v>
      </c>
      <c r="C23" s="4" cm="1">
        <f t="array" ref="C23">_xlfn.IFS(E23&lt;"G",0,E23&lt;"N",1,E23&lt;="Z",2)</f>
        <v>0</v>
      </c>
      <c r="D23" s="5" cm="1">
        <f t="array" ref="D23">_xlfn.IFS(C23=0,2,C23=1,1.5,C23=2,1)</f>
        <v>2</v>
      </c>
      <c r="E23" t="str">
        <f t="shared" si="0"/>
        <v>E</v>
      </c>
    </row>
    <row r="24" spans="1:5" ht="15.75" customHeight="1" x14ac:dyDescent="0.25">
      <c r="A24" s="2" t="s">
        <v>46</v>
      </c>
      <c r="B24" s="2" t="s">
        <v>27</v>
      </c>
      <c r="C24" s="4" cm="1">
        <f t="array" ref="C24">_xlfn.IFS(E24&lt;"G",0,E24&lt;"N",1,E24&lt;="Z",2)</f>
        <v>1</v>
      </c>
      <c r="D24" s="5" cm="1">
        <f t="array" ref="D24">_xlfn.IFS(C24=0,2,C24=1,1.5,C24=2,1)</f>
        <v>1.5</v>
      </c>
      <c r="E24" t="str">
        <f t="shared" si="0"/>
        <v>G</v>
      </c>
    </row>
    <row r="25" spans="1:5" ht="15.75" customHeight="1" x14ac:dyDescent="0.25">
      <c r="A25" s="2" t="s">
        <v>47</v>
      </c>
      <c r="B25" s="2" t="s">
        <v>29</v>
      </c>
      <c r="C25" s="4" cm="1">
        <f t="array" ref="C25">_xlfn.IFS(E25&lt;"G",0,E25&lt;"N",1,E25&lt;="Z",2)</f>
        <v>1</v>
      </c>
      <c r="D25" s="5" cm="1">
        <f t="array" ref="D25">_xlfn.IFS(C25=0,2,C25=1,1.5,C25=2,1)</f>
        <v>1.5</v>
      </c>
      <c r="E25" t="str">
        <f t="shared" si="0"/>
        <v>I</v>
      </c>
    </row>
    <row r="26" spans="1:5" ht="15.75" customHeight="1" x14ac:dyDescent="0.25">
      <c r="A26" s="2" t="s">
        <v>48</v>
      </c>
      <c r="B26" s="2" t="s">
        <v>31</v>
      </c>
      <c r="C26" s="4" cm="1">
        <f t="array" ref="C26">_xlfn.IFS(E26&lt;"G",0,E26&lt;"N",1,E26&lt;="Z",2)</f>
        <v>1</v>
      </c>
      <c r="D26" s="5" cm="1">
        <f t="array" ref="D26">_xlfn.IFS(C26=0,2,C26=1,1.5,C26=2,1)</f>
        <v>1.5</v>
      </c>
      <c r="E26" t="str">
        <f t="shared" si="0"/>
        <v>K</v>
      </c>
    </row>
    <row r="27" spans="1:5" ht="15.75" customHeight="1" x14ac:dyDescent="0.25">
      <c r="A27" s="2" t="s">
        <v>49</v>
      </c>
      <c r="B27" s="2" t="s">
        <v>33</v>
      </c>
      <c r="C27" s="4" cm="1">
        <f t="array" ref="C27">_xlfn.IFS(E27&lt;"G",0,E27&lt;"N",1,E27&lt;="Z",2)</f>
        <v>1</v>
      </c>
      <c r="D27" s="5" cm="1">
        <f t="array" ref="D27">_xlfn.IFS(C27=0,2,C27=1,1.5,C27=2,1)</f>
        <v>1.5</v>
      </c>
      <c r="E27" t="str">
        <f t="shared" si="0"/>
        <v>M</v>
      </c>
    </row>
    <row r="28" spans="1:5" ht="15.75" customHeight="1" x14ac:dyDescent="0.25">
      <c r="A28" s="2" t="s">
        <v>50</v>
      </c>
      <c r="B28" s="2" t="s">
        <v>35</v>
      </c>
      <c r="C28" s="4" cm="1">
        <f t="array" ref="C28">_xlfn.IFS(E28&lt;"G",0,E28&lt;"N",1,E28&lt;="Z",2)</f>
        <v>2</v>
      </c>
      <c r="D28" s="5" cm="1">
        <f t="array" ref="D28">_xlfn.IFS(C28=0,2,C28=1,1.5,C28=2,1)</f>
        <v>1</v>
      </c>
      <c r="E28" t="str">
        <f t="shared" si="0"/>
        <v>O</v>
      </c>
    </row>
    <row r="29" spans="1:5" ht="15.75" customHeight="1" x14ac:dyDescent="0.25">
      <c r="A29" s="2" t="s">
        <v>51</v>
      </c>
      <c r="B29" s="2" t="s">
        <v>37</v>
      </c>
      <c r="C29" s="4" cm="1">
        <f t="array" ref="C29">_xlfn.IFS(E29&lt;"G",0,E29&lt;"N",1,E29&lt;="Z",2)</f>
        <v>2</v>
      </c>
      <c r="D29" s="5" cm="1">
        <f t="array" ref="D29">_xlfn.IFS(C29=0,2,C29=1,1.5,C29=2,1)</f>
        <v>1</v>
      </c>
      <c r="E29" t="str">
        <f t="shared" si="0"/>
        <v>Q</v>
      </c>
    </row>
    <row r="30" spans="1:5" ht="15.75" customHeight="1" x14ac:dyDescent="0.25">
      <c r="A30" s="2" t="s">
        <v>52</v>
      </c>
      <c r="B30" s="2" t="s">
        <v>39</v>
      </c>
      <c r="C30" s="4" cm="1">
        <f t="array" ref="C30">_xlfn.IFS(E30&lt;"G",0,E30&lt;"N",1,E30&lt;="Z",2)</f>
        <v>2</v>
      </c>
      <c r="D30" s="5" cm="1">
        <f t="array" ref="D30">_xlfn.IFS(C30=0,2,C30=1,1.5,C30=2,1)</f>
        <v>1</v>
      </c>
      <c r="E30" t="str">
        <f t="shared" si="0"/>
        <v>S</v>
      </c>
    </row>
    <row r="31" spans="1:5" ht="15.75" customHeight="1" x14ac:dyDescent="0.25">
      <c r="A31" s="2" t="s">
        <v>53</v>
      </c>
      <c r="B31" s="2" t="s">
        <v>41</v>
      </c>
      <c r="C31" s="4" cm="1">
        <f t="array" ref="C31">_xlfn.IFS(E31&lt;"G",0,E31&lt;"N",1,E31&lt;="Z",2)</f>
        <v>2</v>
      </c>
      <c r="D31" s="5" cm="1">
        <f t="array" ref="D31">_xlfn.IFS(C31=0,2,C31=1,1.5,C31=2,1)</f>
        <v>1</v>
      </c>
      <c r="E31" t="str">
        <f t="shared" si="0"/>
        <v>U</v>
      </c>
    </row>
    <row r="32" spans="1:5" ht="15.75" customHeight="1" x14ac:dyDescent="0.25">
      <c r="A32" s="2" t="s">
        <v>54</v>
      </c>
      <c r="B32" s="2" t="s">
        <v>43</v>
      </c>
      <c r="C32" s="4" cm="1">
        <f t="array" ref="C32">_xlfn.IFS(E32&lt;"G",0,E32&lt;"N",1,E32&lt;="Z",2)</f>
        <v>2</v>
      </c>
      <c r="D32" s="5" cm="1">
        <f t="array" ref="D32">_xlfn.IFS(C32=0,2,C32=1,1.5,C32=2,1)</f>
        <v>1</v>
      </c>
      <c r="E32" t="str">
        <f t="shared" si="0"/>
        <v>W</v>
      </c>
    </row>
    <row r="33" spans="1:5" ht="15.75" customHeight="1" x14ac:dyDescent="0.25">
      <c r="A33" s="2" t="s">
        <v>55</v>
      </c>
      <c r="B33" s="2" t="s">
        <v>23</v>
      </c>
      <c r="C33" s="4" cm="1">
        <f t="array" ref="C33">_xlfn.IFS(E33&lt;"G",0,E33&lt;"N",1,E33&lt;="Z",2)</f>
        <v>2</v>
      </c>
      <c r="D33" s="5" cm="1">
        <f t="array" ref="D33">_xlfn.IFS(C33=0,2,C33=1,1.5,C33=2,1)</f>
        <v>1</v>
      </c>
      <c r="E33" t="str">
        <f t="shared" si="0"/>
        <v>Y</v>
      </c>
    </row>
    <row r="34" spans="1:5" ht="15.75" customHeight="1" x14ac:dyDescent="0.25">
      <c r="A34" s="2" t="s">
        <v>56</v>
      </c>
      <c r="B34" s="2" t="s">
        <v>25</v>
      </c>
      <c r="C34" s="4" cm="1">
        <f t="array" ref="C34">_xlfn.IFS(E34&lt;"G",0,E34&lt;"N",1,E34&lt;="Z",2)</f>
        <v>0</v>
      </c>
      <c r="D34" s="5" cm="1">
        <f t="array" ref="D34">_xlfn.IFS(C34=0,2,C34=1,1.5,C34=2,1)</f>
        <v>2</v>
      </c>
      <c r="E34" t="str">
        <f t="shared" si="0"/>
        <v>A</v>
      </c>
    </row>
    <row r="35" spans="1:5" ht="15.75" customHeight="1" x14ac:dyDescent="0.25">
      <c r="A35" s="2" t="s">
        <v>57</v>
      </c>
      <c r="B35" s="2" t="s">
        <v>27</v>
      </c>
      <c r="C35" s="4" cm="1">
        <f t="array" ref="C35">_xlfn.IFS(E35&lt;"G",0,E35&lt;"N",1,E35&lt;="Z",2)</f>
        <v>0</v>
      </c>
      <c r="D35" s="5" cm="1">
        <f t="array" ref="D35">_xlfn.IFS(C35=0,2,C35=1,1.5,C35=2,1)</f>
        <v>2</v>
      </c>
      <c r="E35" t="str">
        <f t="shared" si="0"/>
        <v>C</v>
      </c>
    </row>
    <row r="36" spans="1:5" ht="15.75" customHeight="1" x14ac:dyDescent="0.25">
      <c r="A36" s="2" t="s">
        <v>58</v>
      </c>
      <c r="B36" s="2" t="s">
        <v>29</v>
      </c>
      <c r="C36" s="4" cm="1">
        <f t="array" ref="C36">_xlfn.IFS(E36&lt;"G",0,E36&lt;"N",1,E36&lt;="Z",2)</f>
        <v>0</v>
      </c>
      <c r="D36" s="5" cm="1">
        <f t="array" ref="D36">_xlfn.IFS(C36=0,2,C36=1,1.5,C36=2,1)</f>
        <v>2</v>
      </c>
      <c r="E36" t="str">
        <f t="shared" si="0"/>
        <v>E</v>
      </c>
    </row>
    <row r="37" spans="1:5" ht="12.5" x14ac:dyDescent="0.25">
      <c r="A37" s="2" t="s">
        <v>59</v>
      </c>
      <c r="B37" s="2" t="s">
        <v>31</v>
      </c>
      <c r="C37" s="4" cm="1">
        <f t="array" ref="C37">_xlfn.IFS(E37&lt;"G",0,E37&lt;"N",1,E37&lt;="Z",2)</f>
        <v>1</v>
      </c>
      <c r="D37" s="5" cm="1">
        <f t="array" ref="D37">_xlfn.IFS(C37=0,2,C37=1,1.5,C37=2,1)</f>
        <v>1.5</v>
      </c>
      <c r="E37" t="str">
        <f t="shared" si="0"/>
        <v>G</v>
      </c>
    </row>
    <row r="38" spans="1:5" ht="12.5" x14ac:dyDescent="0.25">
      <c r="A38" s="2" t="s">
        <v>60</v>
      </c>
      <c r="B38" s="2" t="s">
        <v>33</v>
      </c>
      <c r="C38" s="4" cm="1">
        <f t="array" ref="C38">_xlfn.IFS(E38&lt;"G",0,E38&lt;"N",1,E38&lt;="Z",2)</f>
        <v>1</v>
      </c>
      <c r="D38" s="5" cm="1">
        <f t="array" ref="D38">_xlfn.IFS(C38=0,2,C38=1,1.5,C38=2,1)</f>
        <v>1.5</v>
      </c>
      <c r="E38" t="str">
        <f t="shared" si="0"/>
        <v>I</v>
      </c>
    </row>
    <row r="39" spans="1:5" ht="12.5" x14ac:dyDescent="0.25">
      <c r="A39" s="2" t="s">
        <v>61</v>
      </c>
      <c r="B39" s="2" t="s">
        <v>35</v>
      </c>
      <c r="C39" s="4" cm="1">
        <f t="array" ref="C39">_xlfn.IFS(E39&lt;"G",0,E39&lt;"N",1,E39&lt;="Z",2)</f>
        <v>1</v>
      </c>
      <c r="D39" s="5" cm="1">
        <f t="array" ref="D39">_xlfn.IFS(C39=0,2,C39=1,1.5,C39=2,1)</f>
        <v>1.5</v>
      </c>
      <c r="E39" t="str">
        <f t="shared" si="0"/>
        <v>K</v>
      </c>
    </row>
    <row r="40" spans="1:5" ht="12.5" x14ac:dyDescent="0.25">
      <c r="A40" s="2" t="s">
        <v>62</v>
      </c>
      <c r="B40" s="2" t="s">
        <v>37</v>
      </c>
      <c r="C40" s="4" cm="1">
        <f t="array" ref="C40">_xlfn.IFS(E40&lt;"G",0,E40&lt;"N",1,E40&lt;="Z",2)</f>
        <v>1</v>
      </c>
      <c r="D40" s="5" cm="1">
        <f t="array" ref="D40">_xlfn.IFS(C40=0,2,C40=1,1.5,C40=2,1)</f>
        <v>1.5</v>
      </c>
      <c r="E40" t="str">
        <f t="shared" si="0"/>
        <v>M</v>
      </c>
    </row>
    <row r="41" spans="1:5" ht="12.5" x14ac:dyDescent="0.25">
      <c r="A41" s="2" t="s">
        <v>63</v>
      </c>
      <c r="B41" s="2" t="s">
        <v>39</v>
      </c>
      <c r="C41" s="4" cm="1">
        <f t="array" ref="C41">_xlfn.IFS(E41&lt;"G",0,E41&lt;"N",1,E41&lt;="Z",2)</f>
        <v>2</v>
      </c>
      <c r="D41" s="5" cm="1">
        <f t="array" ref="D41">_xlfn.IFS(C41=0,2,C41=1,1.5,C41=2,1)</f>
        <v>1</v>
      </c>
      <c r="E41" t="str">
        <f t="shared" si="0"/>
        <v>O</v>
      </c>
    </row>
    <row r="42" spans="1:5" ht="12.5" x14ac:dyDescent="0.25">
      <c r="A42" s="2" t="s">
        <v>64</v>
      </c>
      <c r="B42" s="2" t="s">
        <v>41</v>
      </c>
      <c r="C42" s="4" cm="1">
        <f t="array" ref="C42">_xlfn.IFS(E42&lt;"G",0,E42&lt;"N",1,E42&lt;="Z",2)</f>
        <v>2</v>
      </c>
      <c r="D42" s="5" cm="1">
        <f t="array" ref="D42">_xlfn.IFS(C42=0,2,C42=1,1.5,C42=2,1)</f>
        <v>1</v>
      </c>
      <c r="E42" t="str">
        <f t="shared" si="0"/>
        <v>Q</v>
      </c>
    </row>
    <row r="43" spans="1:5" ht="12.5" x14ac:dyDescent="0.25">
      <c r="A43" s="2" t="s">
        <v>65</v>
      </c>
      <c r="B43" s="2" t="s">
        <v>43</v>
      </c>
      <c r="C43" s="4" cm="1">
        <f t="array" ref="C43">_xlfn.IFS(E43&lt;"G",0,E43&lt;"N",1,E43&lt;="Z",2)</f>
        <v>2</v>
      </c>
      <c r="D43" s="5" cm="1">
        <f t="array" ref="D43">_xlfn.IFS(C43=0,2,C43=1,1.5,C43=2,1)</f>
        <v>1</v>
      </c>
      <c r="E43" t="str">
        <f t="shared" si="0"/>
        <v>S</v>
      </c>
    </row>
    <row r="44" spans="1:5" ht="12.5" x14ac:dyDescent="0.25">
      <c r="A44" s="2" t="s">
        <v>10</v>
      </c>
      <c r="B44" s="2" t="s">
        <v>23</v>
      </c>
      <c r="C44" s="4" cm="1">
        <f t="array" ref="C44">_xlfn.IFS(E44&lt;"G",0,E44&lt;"N",1,E44&lt;="Z",2)</f>
        <v>2</v>
      </c>
      <c r="D44" s="5" cm="1">
        <f t="array" ref="D44">_xlfn.IFS(C44=0,2,C44=1,1.5,C44=2,1)</f>
        <v>1</v>
      </c>
      <c r="E44" t="str">
        <f t="shared" si="0"/>
        <v>U</v>
      </c>
    </row>
    <row r="45" spans="1:5" ht="12.5" x14ac:dyDescent="0.25">
      <c r="A45" s="2" t="s">
        <v>66</v>
      </c>
      <c r="B45" s="2" t="s">
        <v>25</v>
      </c>
      <c r="C45" s="4" cm="1">
        <f t="array" ref="C45">_xlfn.IFS(E45&lt;"G",0,E45&lt;"N",1,E45&lt;="Z",2)</f>
        <v>2</v>
      </c>
      <c r="D45" s="5" cm="1">
        <f t="array" ref="D45">_xlfn.IFS(C45=0,2,C45=1,1.5,C45=2,1)</f>
        <v>1</v>
      </c>
      <c r="E45" t="str">
        <f t="shared" si="0"/>
        <v>W</v>
      </c>
    </row>
    <row r="46" spans="1:5" ht="12.5" x14ac:dyDescent="0.25">
      <c r="A46" s="2" t="s">
        <v>67</v>
      </c>
      <c r="B46" s="2" t="s">
        <v>27</v>
      </c>
      <c r="C46" s="4" cm="1">
        <f t="array" ref="C46">_xlfn.IFS(E46&lt;"G",0,E46&lt;"N",1,E46&lt;="Z",2)</f>
        <v>2</v>
      </c>
      <c r="D46" s="5" cm="1">
        <f t="array" ref="D46">_xlfn.IFS(C46=0,2,C46=1,1.5,C46=2,1)</f>
        <v>1</v>
      </c>
      <c r="E46" t="str">
        <f t="shared" si="0"/>
        <v>Y</v>
      </c>
    </row>
    <row r="47" spans="1:5" ht="12.5" x14ac:dyDescent="0.25">
      <c r="A47" s="2" t="s">
        <v>68</v>
      </c>
      <c r="B47" s="2" t="s">
        <v>29</v>
      </c>
      <c r="C47" s="4" cm="1">
        <f t="array" ref="C47">_xlfn.IFS(E47&lt;"G",0,E47&lt;"N",1,E47&lt;="Z",2)</f>
        <v>0</v>
      </c>
      <c r="D47" s="5" cm="1">
        <f t="array" ref="D47">_xlfn.IFS(C47=0,2,C47=1,1.5,C47=2,1)</f>
        <v>2</v>
      </c>
      <c r="E47" t="str">
        <f t="shared" si="0"/>
        <v>A</v>
      </c>
    </row>
    <row r="48" spans="1:5" ht="12.5" x14ac:dyDescent="0.25">
      <c r="A48" s="2" t="s">
        <v>69</v>
      </c>
      <c r="B48" s="2" t="s">
        <v>31</v>
      </c>
      <c r="C48" s="4" cm="1">
        <f t="array" ref="C48">_xlfn.IFS(E48&lt;"G",0,E48&lt;"N",1,E48&lt;="Z",2)</f>
        <v>0</v>
      </c>
      <c r="D48" s="5" cm="1">
        <f t="array" ref="D48">_xlfn.IFS(C48=0,2,C48=1,1.5,C48=2,1)</f>
        <v>2</v>
      </c>
      <c r="E48" t="str">
        <f t="shared" si="0"/>
        <v>C</v>
      </c>
    </row>
    <row r="49" spans="1:5" ht="12.5" x14ac:dyDescent="0.25">
      <c r="A49" s="2" t="s">
        <v>70</v>
      </c>
      <c r="B49" s="2" t="s">
        <v>33</v>
      </c>
      <c r="C49" s="4" cm="1">
        <f t="array" ref="C49">_xlfn.IFS(E49&lt;"G",0,E49&lt;"N",1,E49&lt;="Z",2)</f>
        <v>0</v>
      </c>
      <c r="D49" s="5" cm="1">
        <f t="array" ref="D49">_xlfn.IFS(C49=0,2,C49=1,1.5,C49=2,1)</f>
        <v>2</v>
      </c>
      <c r="E49" t="str">
        <f t="shared" si="0"/>
        <v>E</v>
      </c>
    </row>
    <row r="50" spans="1:5" ht="12.5" x14ac:dyDescent="0.25">
      <c r="A50" s="2" t="s">
        <v>71</v>
      </c>
      <c r="B50" s="2" t="s">
        <v>35</v>
      </c>
      <c r="C50" s="4" cm="1">
        <f t="array" ref="C50">_xlfn.IFS(E50&lt;"G",0,E50&lt;"N",1,E50&lt;="Z",2)</f>
        <v>1</v>
      </c>
      <c r="D50" s="5" cm="1">
        <f t="array" ref="D50">_xlfn.IFS(C50=0,2,C50=1,1.5,C50=2,1)</f>
        <v>1.5</v>
      </c>
      <c r="E50" t="str">
        <f t="shared" si="0"/>
        <v>G</v>
      </c>
    </row>
    <row r="51" spans="1:5" ht="12.5" x14ac:dyDescent="0.25">
      <c r="A51" s="2" t="s">
        <v>72</v>
      </c>
      <c r="B51" s="2" t="s">
        <v>37</v>
      </c>
      <c r="C51" s="4" cm="1">
        <f t="array" ref="C51">_xlfn.IFS(E51&lt;"G",0,E51&lt;"N",1,E51&lt;="Z",2)</f>
        <v>1</v>
      </c>
      <c r="D51" s="5" cm="1">
        <f t="array" ref="D51">_xlfn.IFS(C51=0,2,C51=1,1.5,C51=2,1)</f>
        <v>1.5</v>
      </c>
      <c r="E51" t="str">
        <f t="shared" si="0"/>
        <v>I</v>
      </c>
    </row>
    <row r="52" spans="1:5" ht="12.5" x14ac:dyDescent="0.25">
      <c r="A52" s="2" t="s">
        <v>73</v>
      </c>
      <c r="B52" s="2" t="s">
        <v>39</v>
      </c>
      <c r="C52" s="4" cm="1">
        <f t="array" ref="C52">_xlfn.IFS(E52&lt;"G",0,E52&lt;"N",1,E52&lt;="Z",2)</f>
        <v>1</v>
      </c>
      <c r="D52" s="5" cm="1">
        <f t="array" ref="D52">_xlfn.IFS(C52=0,2,C52=1,1.5,C52=2,1)</f>
        <v>1.5</v>
      </c>
      <c r="E52" t="str">
        <f t="shared" si="0"/>
        <v>K</v>
      </c>
    </row>
    <row r="53" spans="1:5" ht="12.5" x14ac:dyDescent="0.25">
      <c r="A53" s="2" t="s">
        <v>74</v>
      </c>
      <c r="B53" s="2" t="s">
        <v>41</v>
      </c>
      <c r="C53" s="4" cm="1">
        <f t="array" ref="C53">_xlfn.IFS(E53&lt;"G",0,E53&lt;"N",1,E53&lt;="Z",2)</f>
        <v>1</v>
      </c>
      <c r="D53" s="5" cm="1">
        <f t="array" ref="D53">_xlfn.IFS(C53=0,2,C53=1,1.5,C53=2,1)</f>
        <v>1.5</v>
      </c>
      <c r="E53" t="str">
        <f t="shared" si="0"/>
        <v>M</v>
      </c>
    </row>
    <row r="54" spans="1:5" ht="12.5" x14ac:dyDescent="0.25">
      <c r="A54" s="2" t="s">
        <v>75</v>
      </c>
      <c r="B54" s="2" t="s">
        <v>43</v>
      </c>
      <c r="C54" s="4" cm="1">
        <f t="array" ref="C54">_xlfn.IFS(E54&lt;"G",0,E54&lt;"N",1,E54&lt;="Z",2)</f>
        <v>2</v>
      </c>
      <c r="D54" s="5" cm="1">
        <f t="array" ref="D54">_xlfn.IFS(C54=0,2,C54=1,1.5,C54=2,1)</f>
        <v>1</v>
      </c>
      <c r="E54" t="str">
        <f t="shared" si="0"/>
        <v>O</v>
      </c>
    </row>
    <row r="55" spans="1:5" ht="12.5" x14ac:dyDescent="0.25">
      <c r="A55" s="2" t="s">
        <v>76</v>
      </c>
      <c r="B55" s="2" t="s">
        <v>23</v>
      </c>
      <c r="C55" s="4" cm="1">
        <f t="array" ref="C55">_xlfn.IFS(E55&lt;"G",0,E55&lt;"N",1,E55&lt;="Z",2)</f>
        <v>2</v>
      </c>
      <c r="D55" s="5" cm="1">
        <f t="array" ref="D55">_xlfn.IFS(C55=0,2,C55=1,1.5,C55=2,1)</f>
        <v>1</v>
      </c>
      <c r="E55" t="str">
        <f t="shared" si="0"/>
        <v>Q</v>
      </c>
    </row>
    <row r="56" spans="1:5" ht="12.5" x14ac:dyDescent="0.25">
      <c r="A56" s="2" t="s">
        <v>77</v>
      </c>
      <c r="B56" s="2" t="s">
        <v>25</v>
      </c>
      <c r="C56" s="4" cm="1">
        <f t="array" ref="C56">_xlfn.IFS(E56&lt;"G",0,E56&lt;"N",1,E56&lt;="Z",2)</f>
        <v>2</v>
      </c>
      <c r="D56" s="5" cm="1">
        <f t="array" ref="D56">_xlfn.IFS(C56=0,2,C56=1,1.5,C56=2,1)</f>
        <v>1</v>
      </c>
      <c r="E56" t="str">
        <f t="shared" si="0"/>
        <v>S</v>
      </c>
    </row>
    <row r="57" spans="1:5" ht="12.5" x14ac:dyDescent="0.25">
      <c r="A57" s="2" t="s">
        <v>78</v>
      </c>
      <c r="B57" s="2" t="s">
        <v>27</v>
      </c>
      <c r="C57" s="4" cm="1">
        <f t="array" ref="C57">_xlfn.IFS(E57&lt;"G",0,E57&lt;"N",1,E57&lt;="Z",2)</f>
        <v>2</v>
      </c>
      <c r="D57" s="5" cm="1">
        <f t="array" ref="D57">_xlfn.IFS(C57=0,2,C57=1,1.5,C57=2,1)</f>
        <v>1</v>
      </c>
      <c r="E57" t="str">
        <f t="shared" si="0"/>
        <v>U</v>
      </c>
    </row>
    <row r="58" spans="1:5" ht="12.5" x14ac:dyDescent="0.25">
      <c r="A58" s="2" t="s">
        <v>79</v>
      </c>
      <c r="B58" s="2" t="s">
        <v>29</v>
      </c>
      <c r="C58" s="4" cm="1">
        <f t="array" ref="C58">_xlfn.IFS(E58&lt;"G",0,E58&lt;"N",1,E58&lt;="Z",2)</f>
        <v>2</v>
      </c>
      <c r="D58" s="5" cm="1">
        <f t="array" ref="D58">_xlfn.IFS(C58=0,2,C58=1,1.5,C58=2,1)</f>
        <v>1</v>
      </c>
      <c r="E58" t="str">
        <f t="shared" si="0"/>
        <v>W</v>
      </c>
    </row>
    <row r="59" spans="1:5" ht="12.5" x14ac:dyDescent="0.25">
      <c r="A59" s="2" t="s">
        <v>80</v>
      </c>
      <c r="B59" s="2" t="s">
        <v>31</v>
      </c>
      <c r="C59" s="4" cm="1">
        <f t="array" ref="C59">_xlfn.IFS(E59&lt;"G",0,E59&lt;"N",1,E59&lt;="Z",2)</f>
        <v>2</v>
      </c>
      <c r="D59" s="5" cm="1">
        <f t="array" ref="D59">_xlfn.IFS(C59=0,2,C59=1,1.5,C59=2,1)</f>
        <v>1</v>
      </c>
      <c r="E59" t="str">
        <f t="shared" si="0"/>
        <v>Y</v>
      </c>
    </row>
    <row r="60" spans="1:5" ht="12.5" x14ac:dyDescent="0.25">
      <c r="A60" s="2" t="s">
        <v>81</v>
      </c>
      <c r="B60" s="2" t="s">
        <v>33</v>
      </c>
      <c r="C60" s="4" cm="1">
        <f t="array" ref="C60">_xlfn.IFS(E60&lt;"G",0,E60&lt;"N",1,E60&lt;="Z",2)</f>
        <v>0</v>
      </c>
      <c r="D60" s="5" cm="1">
        <f t="array" ref="D60">_xlfn.IFS(C60=0,2,C60=1,1.5,C60=2,1)</f>
        <v>2</v>
      </c>
      <c r="E60" t="str">
        <f t="shared" si="0"/>
        <v>A</v>
      </c>
    </row>
    <row r="61" spans="1:5" ht="12.5" x14ac:dyDescent="0.25">
      <c r="A61" s="2" t="s">
        <v>82</v>
      </c>
      <c r="B61" s="2" t="s">
        <v>35</v>
      </c>
      <c r="C61" s="4" cm="1">
        <f t="array" ref="C61">_xlfn.IFS(E61&lt;"G",0,E61&lt;"N",1,E61&lt;="Z",2)</f>
        <v>0</v>
      </c>
      <c r="D61" s="5" cm="1">
        <f t="array" ref="D61">_xlfn.IFS(C61=0,2,C61=1,1.5,C61=2,1)</f>
        <v>2</v>
      </c>
      <c r="E61" t="str">
        <f t="shared" si="0"/>
        <v>C</v>
      </c>
    </row>
    <row r="62" spans="1:5" ht="12.5" x14ac:dyDescent="0.25">
      <c r="A62" s="2" t="s">
        <v>83</v>
      </c>
      <c r="B62" s="2" t="s">
        <v>37</v>
      </c>
      <c r="C62" s="4" cm="1">
        <f t="array" ref="C62">_xlfn.IFS(E62&lt;"G",0,E62&lt;"N",1,E62&lt;="Z",2)</f>
        <v>0</v>
      </c>
      <c r="D62" s="5" cm="1">
        <f t="array" ref="D62">_xlfn.IFS(C62=0,2,C62=1,1.5,C62=2,1)</f>
        <v>2</v>
      </c>
      <c r="E62" t="str">
        <f t="shared" si="0"/>
        <v>E</v>
      </c>
    </row>
    <row r="63" spans="1:5" ht="12.5" x14ac:dyDescent="0.25">
      <c r="A63" s="2" t="s">
        <v>84</v>
      </c>
      <c r="B63" s="2" t="s">
        <v>39</v>
      </c>
      <c r="C63" s="4" cm="1">
        <f t="array" ref="C63">_xlfn.IFS(E63&lt;"G",0,E63&lt;"N",1,E63&lt;="Z",2)</f>
        <v>1</v>
      </c>
      <c r="D63" s="5" cm="1">
        <f t="array" ref="D63">_xlfn.IFS(C63=0,2,C63=1,1.5,C63=2,1)</f>
        <v>1.5</v>
      </c>
      <c r="E63" t="str">
        <f t="shared" si="0"/>
        <v>G</v>
      </c>
    </row>
    <row r="64" spans="1:5" ht="12.5" x14ac:dyDescent="0.25">
      <c r="A64" s="2" t="s">
        <v>85</v>
      </c>
      <c r="B64" s="2" t="s">
        <v>41</v>
      </c>
      <c r="C64" s="4" cm="1">
        <f t="array" ref="C64">_xlfn.IFS(E64&lt;"G",0,E64&lt;"N",1,E64&lt;="Z",2)</f>
        <v>1</v>
      </c>
      <c r="D64" s="5" cm="1">
        <f t="array" ref="D64">_xlfn.IFS(C64=0,2,C64=1,1.5,C64=2,1)</f>
        <v>1.5</v>
      </c>
      <c r="E64" t="str">
        <f t="shared" si="0"/>
        <v>I</v>
      </c>
    </row>
    <row r="65" spans="1:5" ht="12.5" x14ac:dyDescent="0.25">
      <c r="A65" s="2" t="s">
        <v>86</v>
      </c>
      <c r="B65" s="2" t="s">
        <v>43</v>
      </c>
      <c r="C65" s="4" cm="1">
        <f t="array" ref="C65">_xlfn.IFS(E65&lt;"G",0,E65&lt;"N",1,E65&lt;="Z",2)</f>
        <v>1</v>
      </c>
      <c r="D65" s="5" cm="1">
        <f t="array" ref="D65">_xlfn.IFS(C65=0,2,C65=1,1.5,C65=2,1)</f>
        <v>1.5</v>
      </c>
      <c r="E65" t="str">
        <f t="shared" si="0"/>
        <v>K</v>
      </c>
    </row>
    <row r="66" spans="1:5" ht="12.5" x14ac:dyDescent="0.25">
      <c r="A66" s="2" t="s">
        <v>87</v>
      </c>
      <c r="B66" s="2" t="s">
        <v>23</v>
      </c>
      <c r="C66" s="4" cm="1">
        <f t="array" ref="C66">_xlfn.IFS(E66&lt;"G",0,E66&lt;"N",1,E66&lt;="Z",2)</f>
        <v>1</v>
      </c>
      <c r="D66" s="5" cm="1">
        <f t="array" ref="D66">_xlfn.IFS(C66=0,2,C66=1,1.5,C66=2,1)</f>
        <v>1.5</v>
      </c>
      <c r="E66" t="str">
        <f t="shared" si="0"/>
        <v>M</v>
      </c>
    </row>
    <row r="67" spans="1:5" ht="12.5" x14ac:dyDescent="0.25">
      <c r="A67" s="2" t="s">
        <v>88</v>
      </c>
      <c r="B67" s="2" t="s">
        <v>25</v>
      </c>
      <c r="C67" s="4" cm="1">
        <f t="array" ref="C67">_xlfn.IFS(E67&lt;"G",0,E67&lt;"N",1,E67&lt;="Z",2)</f>
        <v>2</v>
      </c>
      <c r="D67" s="5" cm="1">
        <f t="array" ref="D67">_xlfn.IFS(C67=0,2,C67=1,1.5,C67=2,1)</f>
        <v>1</v>
      </c>
      <c r="E67" t="str">
        <f t="shared" ref="E67:E101" si="1">LEFT(A67,1)</f>
        <v>O</v>
      </c>
    </row>
    <row r="68" spans="1:5" ht="12.5" x14ac:dyDescent="0.25">
      <c r="A68" s="2" t="s">
        <v>89</v>
      </c>
      <c r="B68" s="2" t="s">
        <v>27</v>
      </c>
      <c r="C68" s="4" cm="1">
        <f t="array" ref="C68">_xlfn.IFS(E68&lt;"G",0,E68&lt;"N",1,E68&lt;="Z",2)</f>
        <v>2</v>
      </c>
      <c r="D68" s="5" cm="1">
        <f t="array" ref="D68">_xlfn.IFS(C68=0,2,C68=1,1.5,C68=2,1)</f>
        <v>1</v>
      </c>
      <c r="E68" t="str">
        <f t="shared" si="1"/>
        <v>Q</v>
      </c>
    </row>
    <row r="69" spans="1:5" ht="12.5" x14ac:dyDescent="0.25">
      <c r="A69" s="2" t="s">
        <v>90</v>
      </c>
      <c r="B69" s="2" t="s">
        <v>29</v>
      </c>
      <c r="C69" s="4" cm="1">
        <f t="array" ref="C69">_xlfn.IFS(E69&lt;"G",0,E69&lt;"N",1,E69&lt;="Z",2)</f>
        <v>2</v>
      </c>
      <c r="D69" s="5" cm="1">
        <f t="array" ref="D69">_xlfn.IFS(C69=0,2,C69=1,1.5,C69=2,1)</f>
        <v>1</v>
      </c>
      <c r="E69" t="str">
        <f t="shared" si="1"/>
        <v>S</v>
      </c>
    </row>
    <row r="70" spans="1:5" ht="12.5" x14ac:dyDescent="0.25">
      <c r="A70" s="2" t="s">
        <v>91</v>
      </c>
      <c r="B70" s="2" t="s">
        <v>31</v>
      </c>
      <c r="C70" s="4" cm="1">
        <f t="array" ref="C70">_xlfn.IFS(E70&lt;"G",0,E70&lt;"N",1,E70&lt;="Z",2)</f>
        <v>2</v>
      </c>
      <c r="D70" s="5" cm="1">
        <f t="array" ref="D70">_xlfn.IFS(C70=0,2,C70=1,1.5,C70=2,1)</f>
        <v>1</v>
      </c>
      <c r="E70" t="str">
        <f t="shared" si="1"/>
        <v>U</v>
      </c>
    </row>
    <row r="71" spans="1:5" ht="12.5" x14ac:dyDescent="0.25">
      <c r="A71" s="2" t="s">
        <v>92</v>
      </c>
      <c r="B71" s="2" t="s">
        <v>33</v>
      </c>
      <c r="C71" s="4" cm="1">
        <f t="array" ref="C71">_xlfn.IFS(E71&lt;"G",0,E71&lt;"N",1,E71&lt;="Z",2)</f>
        <v>2</v>
      </c>
      <c r="D71" s="5" cm="1">
        <f t="array" ref="D71">_xlfn.IFS(C71=0,2,C71=1,1.5,C71=2,1)</f>
        <v>1</v>
      </c>
      <c r="E71" t="str">
        <f t="shared" si="1"/>
        <v>W</v>
      </c>
    </row>
    <row r="72" spans="1:5" ht="12.5" x14ac:dyDescent="0.25">
      <c r="A72" s="2" t="s">
        <v>93</v>
      </c>
      <c r="B72" s="2" t="s">
        <v>35</v>
      </c>
      <c r="C72" s="4" cm="1">
        <f t="array" ref="C72">_xlfn.IFS(E72&lt;"G",0,E72&lt;"N",1,E72&lt;="Z",2)</f>
        <v>2</v>
      </c>
      <c r="D72" s="5" cm="1">
        <f t="array" ref="D72">_xlfn.IFS(C72=0,2,C72=1,1.5,C72=2,1)</f>
        <v>1</v>
      </c>
      <c r="E72" t="str">
        <f t="shared" si="1"/>
        <v>Y</v>
      </c>
    </row>
    <row r="73" spans="1:5" ht="12.5" x14ac:dyDescent="0.25">
      <c r="A73" s="2" t="s">
        <v>94</v>
      </c>
      <c r="B73" s="2" t="s">
        <v>37</v>
      </c>
      <c r="C73" s="4" cm="1">
        <f t="array" ref="C73">_xlfn.IFS(E73&lt;"G",0,E73&lt;"N",1,E73&lt;="Z",2)</f>
        <v>0</v>
      </c>
      <c r="D73" s="5" cm="1">
        <f t="array" ref="D73">_xlfn.IFS(C73=0,2,C73=1,1.5,C73=2,1)</f>
        <v>2</v>
      </c>
      <c r="E73" t="str">
        <f t="shared" si="1"/>
        <v>A</v>
      </c>
    </row>
    <row r="74" spans="1:5" ht="12.5" x14ac:dyDescent="0.25">
      <c r="A74" s="2" t="s">
        <v>95</v>
      </c>
      <c r="B74" s="2" t="s">
        <v>39</v>
      </c>
      <c r="C74" s="4" cm="1">
        <f t="array" ref="C74">_xlfn.IFS(E74&lt;"G",0,E74&lt;"N",1,E74&lt;="Z",2)</f>
        <v>0</v>
      </c>
      <c r="D74" s="5" cm="1">
        <f t="array" ref="D74">_xlfn.IFS(C74=0,2,C74=1,1.5,C74=2,1)</f>
        <v>2</v>
      </c>
      <c r="E74" t="str">
        <f t="shared" si="1"/>
        <v>C</v>
      </c>
    </row>
    <row r="75" spans="1:5" ht="12.5" x14ac:dyDescent="0.25">
      <c r="A75" s="2" t="s">
        <v>96</v>
      </c>
      <c r="B75" s="2" t="s">
        <v>41</v>
      </c>
      <c r="C75" s="4" cm="1">
        <f t="array" ref="C75">_xlfn.IFS(E75&lt;"G",0,E75&lt;"N",1,E75&lt;="Z",2)</f>
        <v>0</v>
      </c>
      <c r="D75" s="5" cm="1">
        <f t="array" ref="D75">_xlfn.IFS(C75=0,2,C75=1,1.5,C75=2,1)</f>
        <v>2</v>
      </c>
      <c r="E75" t="str">
        <f t="shared" si="1"/>
        <v>E</v>
      </c>
    </row>
    <row r="76" spans="1:5" ht="12.5" x14ac:dyDescent="0.25">
      <c r="A76" s="2" t="s">
        <v>97</v>
      </c>
      <c r="B76" s="2" t="s">
        <v>43</v>
      </c>
      <c r="C76" s="4" cm="1">
        <f t="array" ref="C76">_xlfn.IFS(E76&lt;"G",0,E76&lt;"N",1,E76&lt;="Z",2)</f>
        <v>1</v>
      </c>
      <c r="D76" s="5" cm="1">
        <f t="array" ref="D76">_xlfn.IFS(C76=0,2,C76=1,1.5,C76=2,1)</f>
        <v>1.5</v>
      </c>
      <c r="E76" t="str">
        <f t="shared" si="1"/>
        <v>G</v>
      </c>
    </row>
    <row r="77" spans="1:5" ht="12.5" x14ac:dyDescent="0.25">
      <c r="A77" s="2" t="s">
        <v>98</v>
      </c>
      <c r="B77" s="2" t="s">
        <v>23</v>
      </c>
      <c r="C77" s="4" cm="1">
        <f t="array" ref="C77">_xlfn.IFS(E77&lt;"G",0,E77&lt;"N",1,E77&lt;="Z",2)</f>
        <v>1</v>
      </c>
      <c r="D77" s="5" cm="1">
        <f t="array" ref="D77">_xlfn.IFS(C77=0,2,C77=1,1.5,C77=2,1)</f>
        <v>1.5</v>
      </c>
      <c r="E77" t="str">
        <f t="shared" si="1"/>
        <v>I</v>
      </c>
    </row>
    <row r="78" spans="1:5" ht="12.5" x14ac:dyDescent="0.25">
      <c r="A78" s="2" t="s">
        <v>99</v>
      </c>
      <c r="B78" s="2" t="s">
        <v>25</v>
      </c>
      <c r="C78" s="4" cm="1">
        <f t="array" ref="C78">_xlfn.IFS(E78&lt;"G",0,E78&lt;"N",1,E78&lt;="Z",2)</f>
        <v>1</v>
      </c>
      <c r="D78" s="5" cm="1">
        <f t="array" ref="D78">_xlfn.IFS(C78=0,2,C78=1,1.5,C78=2,1)</f>
        <v>1.5</v>
      </c>
      <c r="E78" t="str">
        <f t="shared" si="1"/>
        <v>K</v>
      </c>
    </row>
    <row r="79" spans="1:5" ht="12.5" x14ac:dyDescent="0.25">
      <c r="A79" s="2" t="s">
        <v>100</v>
      </c>
      <c r="B79" s="2" t="s">
        <v>27</v>
      </c>
      <c r="C79" s="4" cm="1">
        <f t="array" ref="C79">_xlfn.IFS(E79&lt;"G",0,E79&lt;"N",1,E79&lt;="Z",2)</f>
        <v>1</v>
      </c>
      <c r="D79" s="5" cm="1">
        <f t="array" ref="D79">_xlfn.IFS(C79=0,2,C79=1,1.5,C79=2,1)</f>
        <v>1.5</v>
      </c>
      <c r="E79" t="str">
        <f t="shared" si="1"/>
        <v>M</v>
      </c>
    </row>
    <row r="80" spans="1:5" ht="12.5" x14ac:dyDescent="0.25">
      <c r="A80" s="2" t="s">
        <v>101</v>
      </c>
      <c r="B80" s="2" t="s">
        <v>29</v>
      </c>
      <c r="C80" s="4" cm="1">
        <f t="array" ref="C80">_xlfn.IFS(E80&lt;"G",0,E80&lt;"N",1,E80&lt;="Z",2)</f>
        <v>2</v>
      </c>
      <c r="D80" s="5" cm="1">
        <f t="array" ref="D80">_xlfn.IFS(C80=0,2,C80=1,1.5,C80=2,1)</f>
        <v>1</v>
      </c>
      <c r="E80" t="str">
        <f t="shared" si="1"/>
        <v>O</v>
      </c>
    </row>
    <row r="81" spans="1:5" ht="12.5" x14ac:dyDescent="0.25">
      <c r="A81" s="2" t="s">
        <v>102</v>
      </c>
      <c r="B81" s="2" t="s">
        <v>31</v>
      </c>
      <c r="C81" s="4" cm="1">
        <f t="array" ref="C81">_xlfn.IFS(E81&lt;"G",0,E81&lt;"N",1,E81&lt;="Z",2)</f>
        <v>2</v>
      </c>
      <c r="D81" s="5" cm="1">
        <f t="array" ref="D81">_xlfn.IFS(C81=0,2,C81=1,1.5,C81=2,1)</f>
        <v>1</v>
      </c>
      <c r="E81" t="str">
        <f t="shared" si="1"/>
        <v>Q</v>
      </c>
    </row>
    <row r="82" spans="1:5" ht="12.5" x14ac:dyDescent="0.25">
      <c r="A82" s="2" t="s">
        <v>103</v>
      </c>
      <c r="B82" s="2" t="s">
        <v>33</v>
      </c>
      <c r="C82" s="4" cm="1">
        <f t="array" ref="C82">_xlfn.IFS(E82&lt;"G",0,E82&lt;"N",1,E82&lt;="Z",2)</f>
        <v>2</v>
      </c>
      <c r="D82" s="5" cm="1">
        <f t="array" ref="D82">_xlfn.IFS(C82=0,2,C82=1,1.5,C82=2,1)</f>
        <v>1</v>
      </c>
      <c r="E82" t="str">
        <f t="shared" si="1"/>
        <v>S</v>
      </c>
    </row>
    <row r="83" spans="1:5" ht="12.5" x14ac:dyDescent="0.25">
      <c r="A83" s="2" t="s">
        <v>104</v>
      </c>
      <c r="B83" s="2" t="s">
        <v>35</v>
      </c>
      <c r="C83" s="4" cm="1">
        <f t="array" ref="C83">_xlfn.IFS(E83&lt;"G",0,E83&lt;"N",1,E83&lt;="Z",2)</f>
        <v>2</v>
      </c>
      <c r="D83" s="5" cm="1">
        <f t="array" ref="D83">_xlfn.IFS(C83=0,2,C83=1,1.5,C83=2,1)</f>
        <v>1</v>
      </c>
      <c r="E83" t="str">
        <f t="shared" si="1"/>
        <v>U</v>
      </c>
    </row>
    <row r="84" spans="1:5" ht="12.5" x14ac:dyDescent="0.25">
      <c r="A84" s="2" t="s">
        <v>105</v>
      </c>
      <c r="B84" s="2" t="s">
        <v>37</v>
      </c>
      <c r="C84" s="4" cm="1">
        <f t="array" ref="C84">_xlfn.IFS(E84&lt;"G",0,E84&lt;"N",1,E84&lt;="Z",2)</f>
        <v>2</v>
      </c>
      <c r="D84" s="5" cm="1">
        <f t="array" ref="D84">_xlfn.IFS(C84=0,2,C84=1,1.5,C84=2,1)</f>
        <v>1</v>
      </c>
      <c r="E84" t="str">
        <f t="shared" si="1"/>
        <v>W</v>
      </c>
    </row>
    <row r="85" spans="1:5" ht="12.5" x14ac:dyDescent="0.25">
      <c r="A85" s="2" t="s">
        <v>106</v>
      </c>
      <c r="B85" s="2" t="s">
        <v>39</v>
      </c>
      <c r="C85" s="4" cm="1">
        <f t="array" ref="C85">_xlfn.IFS(E85&lt;"G",0,E85&lt;"N",1,E85&lt;="Z",2)</f>
        <v>2</v>
      </c>
      <c r="D85" s="5" cm="1">
        <f t="array" ref="D85">_xlfn.IFS(C85=0,2,C85=1,1.5,C85=2,1)</f>
        <v>1</v>
      </c>
      <c r="E85" t="str">
        <f t="shared" si="1"/>
        <v>Y</v>
      </c>
    </row>
    <row r="86" spans="1:5" ht="12.5" x14ac:dyDescent="0.25">
      <c r="A86" s="2" t="s">
        <v>107</v>
      </c>
      <c r="B86" s="2" t="s">
        <v>41</v>
      </c>
      <c r="C86" s="4" cm="1">
        <f t="array" ref="C86">_xlfn.IFS(E86&lt;"G",0,E86&lt;"N",1,E86&lt;="Z",2)</f>
        <v>0</v>
      </c>
      <c r="D86" s="5" cm="1">
        <f t="array" ref="D86">_xlfn.IFS(C86=0,2,C86=1,1.5,C86=2,1)</f>
        <v>2</v>
      </c>
      <c r="E86" t="str">
        <f t="shared" si="1"/>
        <v>A</v>
      </c>
    </row>
    <row r="87" spans="1:5" ht="12.5" x14ac:dyDescent="0.25">
      <c r="A87" s="2" t="s">
        <v>108</v>
      </c>
      <c r="B87" s="2" t="s">
        <v>43</v>
      </c>
      <c r="C87" s="4" cm="1">
        <f t="array" ref="C87">_xlfn.IFS(E87&lt;"G",0,E87&lt;"N",1,E87&lt;="Z",2)</f>
        <v>0</v>
      </c>
      <c r="D87" s="5" cm="1">
        <f t="array" ref="D87">_xlfn.IFS(C87=0,2,C87=1,1.5,C87=2,1)</f>
        <v>2</v>
      </c>
      <c r="E87" t="str">
        <f t="shared" si="1"/>
        <v>C</v>
      </c>
    </row>
    <row r="88" spans="1:5" ht="12.5" x14ac:dyDescent="0.25">
      <c r="A88" s="2" t="s">
        <v>109</v>
      </c>
      <c r="B88" s="2" t="s">
        <v>23</v>
      </c>
      <c r="C88" s="4" cm="1">
        <f t="array" ref="C88">_xlfn.IFS(E88&lt;"G",0,E88&lt;"N",1,E88&lt;="Z",2)</f>
        <v>0</v>
      </c>
      <c r="D88" s="5" cm="1">
        <f t="array" ref="D88">_xlfn.IFS(C88=0,2,C88=1,1.5,C88=2,1)</f>
        <v>2</v>
      </c>
      <c r="E88" t="str">
        <f t="shared" si="1"/>
        <v>E</v>
      </c>
    </row>
    <row r="89" spans="1:5" ht="12.5" x14ac:dyDescent="0.25">
      <c r="A89" s="2" t="s">
        <v>110</v>
      </c>
      <c r="B89" s="2" t="s">
        <v>25</v>
      </c>
      <c r="C89" s="4" cm="1">
        <f t="array" ref="C89">_xlfn.IFS(E89&lt;"G",0,E89&lt;"N",1,E89&lt;="Z",2)</f>
        <v>1</v>
      </c>
      <c r="D89" s="5" cm="1">
        <f t="array" ref="D89">_xlfn.IFS(C89=0,2,C89=1,1.5,C89=2,1)</f>
        <v>1.5</v>
      </c>
      <c r="E89" t="str">
        <f t="shared" si="1"/>
        <v>G</v>
      </c>
    </row>
    <row r="90" spans="1:5" ht="12.5" x14ac:dyDescent="0.25">
      <c r="A90" s="2" t="s">
        <v>111</v>
      </c>
      <c r="B90" s="2" t="s">
        <v>27</v>
      </c>
      <c r="C90" s="4" cm="1">
        <f t="array" ref="C90">_xlfn.IFS(E90&lt;"G",0,E90&lt;"N",1,E90&lt;="Z",2)</f>
        <v>1</v>
      </c>
      <c r="D90" s="5" cm="1">
        <f t="array" ref="D90">_xlfn.IFS(C90=0,2,C90=1,1.5,C90=2,1)</f>
        <v>1.5</v>
      </c>
      <c r="E90" t="str">
        <f t="shared" si="1"/>
        <v>I</v>
      </c>
    </row>
    <row r="91" spans="1:5" ht="12.5" x14ac:dyDescent="0.25">
      <c r="A91" s="2" t="s">
        <v>112</v>
      </c>
      <c r="B91" s="2" t="s">
        <v>29</v>
      </c>
      <c r="C91" s="4" cm="1">
        <f t="array" ref="C91">_xlfn.IFS(E91&lt;"G",0,E91&lt;"N",1,E91&lt;="Z",2)</f>
        <v>1</v>
      </c>
      <c r="D91" s="5" cm="1">
        <f t="array" ref="D91">_xlfn.IFS(C91=0,2,C91=1,1.5,C91=2,1)</f>
        <v>1.5</v>
      </c>
      <c r="E91" t="str">
        <f t="shared" si="1"/>
        <v>K</v>
      </c>
    </row>
    <row r="92" spans="1:5" ht="12.5" x14ac:dyDescent="0.25">
      <c r="A92" s="2" t="s">
        <v>113</v>
      </c>
      <c r="B92" s="2" t="s">
        <v>31</v>
      </c>
      <c r="C92" s="4" cm="1">
        <f t="array" ref="C92">_xlfn.IFS(E92&lt;"G",0,E92&lt;"N",1,E92&lt;="Z",2)</f>
        <v>1</v>
      </c>
      <c r="D92" s="5" cm="1">
        <f t="array" ref="D92">_xlfn.IFS(C92=0,2,C92=1,1.5,C92=2,1)</f>
        <v>1.5</v>
      </c>
      <c r="E92" t="str">
        <f t="shared" si="1"/>
        <v>M</v>
      </c>
    </row>
    <row r="93" spans="1:5" ht="12.5" x14ac:dyDescent="0.25">
      <c r="A93" s="2" t="s">
        <v>114</v>
      </c>
      <c r="B93" s="2" t="s">
        <v>33</v>
      </c>
      <c r="C93" s="4" cm="1">
        <f t="array" ref="C93">_xlfn.IFS(E93&lt;"G",0,E93&lt;"N",1,E93&lt;="Z",2)</f>
        <v>2</v>
      </c>
      <c r="D93" s="5" cm="1">
        <f t="array" ref="D93">_xlfn.IFS(C93=0,2,C93=1,1.5,C93=2,1)</f>
        <v>1</v>
      </c>
      <c r="E93" t="str">
        <f t="shared" si="1"/>
        <v>O</v>
      </c>
    </row>
    <row r="94" spans="1:5" ht="12.5" x14ac:dyDescent="0.25">
      <c r="A94" s="2" t="s">
        <v>115</v>
      </c>
      <c r="B94" s="2" t="s">
        <v>35</v>
      </c>
      <c r="C94" s="4" cm="1">
        <f t="array" ref="C94">_xlfn.IFS(E94&lt;"G",0,E94&lt;"N",1,E94&lt;="Z",2)</f>
        <v>2</v>
      </c>
      <c r="D94" s="5" cm="1">
        <f t="array" ref="D94">_xlfn.IFS(C94=0,2,C94=1,1.5,C94=2,1)</f>
        <v>1</v>
      </c>
      <c r="E94" t="str">
        <f t="shared" si="1"/>
        <v>Q</v>
      </c>
    </row>
    <row r="95" spans="1:5" ht="12.5" x14ac:dyDescent="0.25">
      <c r="A95" s="2" t="s">
        <v>116</v>
      </c>
      <c r="B95" s="2" t="s">
        <v>37</v>
      </c>
      <c r="C95" s="4" cm="1">
        <f t="array" ref="C95">_xlfn.IFS(E95&lt;"G",0,E95&lt;"N",1,E95&lt;="Z",2)</f>
        <v>2</v>
      </c>
      <c r="D95" s="5" cm="1">
        <f t="array" ref="D95">_xlfn.IFS(C95=0,2,C95=1,1.5,C95=2,1)</f>
        <v>1</v>
      </c>
      <c r="E95" t="str">
        <f t="shared" si="1"/>
        <v>S</v>
      </c>
    </row>
    <row r="96" spans="1:5" ht="12.5" x14ac:dyDescent="0.25">
      <c r="A96" s="2" t="s">
        <v>117</v>
      </c>
      <c r="B96" s="2" t="s">
        <v>39</v>
      </c>
      <c r="C96" s="4" cm="1">
        <f t="array" ref="C96">_xlfn.IFS(E96&lt;"G",0,E96&lt;"N",1,E96&lt;="Z",2)</f>
        <v>2</v>
      </c>
      <c r="D96" s="5" cm="1">
        <f t="array" ref="D96">_xlfn.IFS(C96=0,2,C96=1,1.5,C96=2,1)</f>
        <v>1</v>
      </c>
      <c r="E96" t="str">
        <f t="shared" si="1"/>
        <v>U</v>
      </c>
    </row>
    <row r="97" spans="1:5" ht="12.5" x14ac:dyDescent="0.25">
      <c r="A97" s="2" t="s">
        <v>118</v>
      </c>
      <c r="B97" s="2" t="s">
        <v>41</v>
      </c>
      <c r="C97" s="4" cm="1">
        <f t="array" ref="C97">_xlfn.IFS(E97&lt;"G",0,E97&lt;"N",1,E97&lt;="Z",2)</f>
        <v>2</v>
      </c>
      <c r="D97" s="5" cm="1">
        <f t="array" ref="D97">_xlfn.IFS(C97=0,2,C97=1,1.5,C97=2,1)</f>
        <v>1</v>
      </c>
      <c r="E97" t="str">
        <f t="shared" si="1"/>
        <v>W</v>
      </c>
    </row>
    <row r="98" spans="1:5" ht="12.5" x14ac:dyDescent="0.25">
      <c r="A98" s="2" t="s">
        <v>119</v>
      </c>
      <c r="B98" s="2" t="s">
        <v>43</v>
      </c>
      <c r="C98" s="4" cm="1">
        <f t="array" ref="C98">_xlfn.IFS(E98&lt;"G",0,E98&lt;"N",1,E98&lt;="Z",2)</f>
        <v>2</v>
      </c>
      <c r="D98" s="5" cm="1">
        <f t="array" ref="D98">_xlfn.IFS(C98=0,2,C98=1,1.5,C98=2,1)</f>
        <v>1</v>
      </c>
      <c r="E98" t="str">
        <f t="shared" si="1"/>
        <v>Y</v>
      </c>
    </row>
    <row r="99" spans="1:5" ht="12.5" x14ac:dyDescent="0.25">
      <c r="A99" s="2" t="s">
        <v>120</v>
      </c>
      <c r="B99" s="2" t="s">
        <v>23</v>
      </c>
      <c r="C99" s="4" cm="1">
        <f t="array" ref="C99">_xlfn.IFS(E99&lt;"G",0,E99&lt;"N",1,E99&lt;="Z",2)</f>
        <v>0</v>
      </c>
      <c r="D99" s="5" cm="1">
        <f t="array" ref="D99">_xlfn.IFS(C99=0,2,C99=1,1.5,C99=2,1)</f>
        <v>2</v>
      </c>
      <c r="E99" t="str">
        <f t="shared" si="1"/>
        <v>A</v>
      </c>
    </row>
    <row r="100" spans="1:5" ht="12.5" x14ac:dyDescent="0.25">
      <c r="A100" s="2" t="s">
        <v>121</v>
      </c>
      <c r="B100" s="2" t="s">
        <v>25</v>
      </c>
      <c r="C100" s="4" cm="1">
        <f t="array" ref="C100">_xlfn.IFS(E100&lt;"G",0,E100&lt;"N",1,E100&lt;="Z",2)</f>
        <v>0</v>
      </c>
      <c r="D100" s="5" cm="1">
        <f t="array" ref="D100">_xlfn.IFS(C100=0,2,C100=1,1.5,C100=2,1)</f>
        <v>2</v>
      </c>
      <c r="E100" t="str">
        <f t="shared" si="1"/>
        <v>C</v>
      </c>
    </row>
    <row r="101" spans="1:5" ht="12.5" x14ac:dyDescent="0.25">
      <c r="A101" s="2" t="s">
        <v>122</v>
      </c>
      <c r="B101" s="2" t="s">
        <v>27</v>
      </c>
      <c r="C101" s="4" cm="1">
        <f t="array" ref="C101">_xlfn.IFS(E101&lt;"G",0,E101&lt;"N",1,E101&lt;="Z",2)</f>
        <v>0</v>
      </c>
      <c r="D101" s="5" cm="1">
        <f t="array" ref="D101">_xlfn.IFS(C101=0,2,C101=1,1.5,C101=2,1)</f>
        <v>2</v>
      </c>
      <c r="E101" t="str">
        <f t="shared" si="1"/>
        <v>E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7"/>
  <sheetViews>
    <sheetView tabSelected="1" zoomScale="130" zoomScaleNormal="130" workbookViewId="0">
      <selection activeCell="I13" sqref="I13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3.90625" bestFit="1" customWidth="1"/>
    <col min="5" max="5" width="11.7265625" customWidth="1"/>
    <col min="9" max="9" width="26.90625" bestFit="1" customWidth="1"/>
  </cols>
  <sheetData>
    <row r="1" spans="1:27" ht="14" x14ac:dyDescent="0.3">
      <c r="A1" s="13" t="s">
        <v>123</v>
      </c>
      <c r="B1" s="14" t="s">
        <v>132</v>
      </c>
      <c r="C1" s="14" t="s">
        <v>133</v>
      </c>
      <c r="D1" s="11" t="s">
        <v>134</v>
      </c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5" t="s">
        <v>124</v>
      </c>
      <c r="B2" s="15">
        <v>55</v>
      </c>
      <c r="C2" s="10" t="str">
        <f>""</f>
        <v/>
      </c>
      <c r="D2" s="9">
        <f>IF(B2&gt;80,1,0)</f>
        <v>0</v>
      </c>
      <c r="F2" s="11" t="s">
        <v>123</v>
      </c>
      <c r="G2" s="11" t="s">
        <v>131</v>
      </c>
      <c r="H2" s="11" t="s">
        <v>3</v>
      </c>
      <c r="I2" s="11" t="s">
        <v>136</v>
      </c>
      <c r="J2" s="7" t="s">
        <v>135</v>
      </c>
    </row>
    <row r="3" spans="1:27" ht="15.75" customHeight="1" x14ac:dyDescent="0.25">
      <c r="A3" s="15" t="s">
        <v>125</v>
      </c>
      <c r="B3" s="15">
        <v>70</v>
      </c>
      <c r="C3" s="16">
        <v>80</v>
      </c>
      <c r="D3" s="9">
        <f t="shared" ref="D3:D47" si="0">IF(B3&gt;80,1,0)</f>
        <v>0</v>
      </c>
      <c r="F3" s="8" t="s">
        <v>126</v>
      </c>
      <c r="G3" s="9">
        <f>COUNTIF($A$2:$A$47,F3)</f>
        <v>11</v>
      </c>
      <c r="H3" s="10">
        <f>SUMIFS(C2:C47,A2:A47,F3)</f>
        <v>495</v>
      </c>
      <c r="I3" s="10">
        <f>SUMIFS($C$2:$C$47,$A$2:$A$47,F3,$B$2:$B$47,$J$2)</f>
        <v>0</v>
      </c>
    </row>
    <row r="4" spans="1:27" ht="15.75" customHeight="1" x14ac:dyDescent="0.25">
      <c r="A4" s="15" t="s">
        <v>126</v>
      </c>
      <c r="B4" s="15">
        <v>40</v>
      </c>
      <c r="C4" s="16">
        <v>60</v>
      </c>
      <c r="D4" s="9">
        <f t="shared" si="0"/>
        <v>0</v>
      </c>
      <c r="F4" s="8" t="s">
        <v>125</v>
      </c>
      <c r="G4" s="9">
        <f>COUNTIF($A$2:$A$47,F4)</f>
        <v>14</v>
      </c>
      <c r="H4" s="10">
        <f t="shared" ref="H4:H7" si="1">SUMIFS(C3:C48,A3:A48,F4)</f>
        <v>815</v>
      </c>
      <c r="I4" s="10">
        <f>SUMIFS($C$2:$C$47,$A$2:$A$47,F4,$B$2:$B$47,$J$2)</f>
        <v>75</v>
      </c>
    </row>
    <row r="5" spans="1:27" ht="15.75" customHeight="1" x14ac:dyDescent="0.25">
      <c r="A5" s="15" t="s">
        <v>124</v>
      </c>
      <c r="B5" s="15">
        <v>20</v>
      </c>
      <c r="C5" s="16">
        <v>100</v>
      </c>
      <c r="D5" s="9">
        <f t="shared" si="0"/>
        <v>0</v>
      </c>
      <c r="F5" s="8" t="s">
        <v>124</v>
      </c>
      <c r="G5" s="9">
        <f>COUNTIF($A$2:$A$47,F5)</f>
        <v>11</v>
      </c>
      <c r="H5" s="10">
        <f t="shared" si="1"/>
        <v>555</v>
      </c>
      <c r="I5" s="10">
        <f>SUMIFS($C$2:$C$47,$A$2:$A$47,F5,$B$2:$B$47,$J$2)</f>
        <v>0</v>
      </c>
    </row>
    <row r="6" spans="1:27" ht="15.75" customHeight="1" x14ac:dyDescent="0.25">
      <c r="A6" s="15" t="s">
        <v>127</v>
      </c>
      <c r="B6" s="15">
        <v>90</v>
      </c>
      <c r="C6" s="16">
        <v>30</v>
      </c>
      <c r="D6" s="9">
        <f>IF(B6&gt;80,1,0)</f>
        <v>1</v>
      </c>
      <c r="F6" s="8" t="s">
        <v>127</v>
      </c>
      <c r="G6" s="9">
        <f>COUNTIF($A$2:$A$47,F6)</f>
        <v>7</v>
      </c>
      <c r="H6" s="10">
        <f t="shared" si="1"/>
        <v>225</v>
      </c>
      <c r="I6" s="10">
        <f>SUMIFS($C$2:$C$47,$A$2:$A$47,F6,$B$2:$B$47,$J$2)</f>
        <v>30</v>
      </c>
    </row>
    <row r="7" spans="1:27" ht="15.75" customHeight="1" x14ac:dyDescent="0.25">
      <c r="A7" s="15" t="s">
        <v>125</v>
      </c>
      <c r="B7" s="15">
        <v>50</v>
      </c>
      <c r="C7" s="16">
        <v>40</v>
      </c>
      <c r="D7" s="9">
        <f t="shared" si="0"/>
        <v>0</v>
      </c>
      <c r="F7" s="8" t="s">
        <v>128</v>
      </c>
      <c r="G7" s="9">
        <f>COUNTIF($A$2:$A$47,F7)</f>
        <v>3</v>
      </c>
      <c r="H7" s="10">
        <f t="shared" si="1"/>
        <v>150</v>
      </c>
      <c r="I7" s="10">
        <f>SUMIFS($C$2:$C$47,$A$2:$A$47,F7,$B$2:$B$47,$J$2)</f>
        <v>0</v>
      </c>
    </row>
    <row r="8" spans="1:27" ht="15.75" customHeight="1" x14ac:dyDescent="0.25">
      <c r="A8" s="15" t="s">
        <v>126</v>
      </c>
      <c r="B8" s="15">
        <v>60</v>
      </c>
      <c r="C8" s="16">
        <v>55</v>
      </c>
      <c r="D8" s="9">
        <f t="shared" si="0"/>
        <v>0</v>
      </c>
      <c r="F8" s="8" t="s">
        <v>137</v>
      </c>
      <c r="G8" s="9">
        <f>SUM(G3:G7)</f>
        <v>46</v>
      </c>
      <c r="H8" s="10">
        <f>SUM(H3:H7)</f>
        <v>2240</v>
      </c>
      <c r="I8" s="10">
        <f>SUM(I3:I7)</f>
        <v>105</v>
      </c>
    </row>
    <row r="9" spans="1:27" ht="15.75" customHeight="1" x14ac:dyDescent="0.25">
      <c r="A9" s="15" t="s">
        <v>124</v>
      </c>
      <c r="B9" s="15">
        <v>45</v>
      </c>
      <c r="C9" s="10" t="str">
        <f>""</f>
        <v/>
      </c>
      <c r="D9" s="9">
        <f t="shared" si="0"/>
        <v>0</v>
      </c>
    </row>
    <row r="10" spans="1:27" ht="15.75" customHeight="1" x14ac:dyDescent="0.25">
      <c r="A10" s="15" t="s">
        <v>125</v>
      </c>
      <c r="B10" s="15">
        <v>25</v>
      </c>
      <c r="C10" s="16">
        <v>85</v>
      </c>
      <c r="D10" s="9">
        <f t="shared" si="0"/>
        <v>0</v>
      </c>
    </row>
    <row r="11" spans="1:27" ht="15.75" customHeight="1" x14ac:dyDescent="0.25">
      <c r="A11" s="15" t="s">
        <v>127</v>
      </c>
      <c r="B11" s="15">
        <v>35</v>
      </c>
      <c r="C11" s="16">
        <v>50</v>
      </c>
      <c r="D11" s="9">
        <f t="shared" si="0"/>
        <v>0</v>
      </c>
    </row>
    <row r="12" spans="1:27" ht="15.75" customHeight="1" x14ac:dyDescent="0.25">
      <c r="A12" s="15" t="s">
        <v>128</v>
      </c>
      <c r="B12" s="15">
        <v>60</v>
      </c>
      <c r="C12" s="16">
        <v>95</v>
      </c>
      <c r="D12" s="9">
        <f t="shared" si="0"/>
        <v>0</v>
      </c>
    </row>
    <row r="13" spans="1:27" ht="15.75" customHeight="1" x14ac:dyDescent="0.25">
      <c r="A13" s="15" t="s">
        <v>126</v>
      </c>
      <c r="B13" s="15">
        <v>80</v>
      </c>
      <c r="C13" s="10" t="str">
        <f>""</f>
        <v/>
      </c>
      <c r="D13" s="9">
        <f t="shared" si="0"/>
        <v>0</v>
      </c>
    </row>
    <row r="14" spans="1:27" ht="15.75" customHeight="1" x14ac:dyDescent="0.25">
      <c r="A14" s="15" t="s">
        <v>125</v>
      </c>
      <c r="B14" s="15">
        <v>40</v>
      </c>
      <c r="C14" s="16">
        <v>45</v>
      </c>
      <c r="D14" s="9">
        <f t="shared" si="0"/>
        <v>0</v>
      </c>
    </row>
    <row r="15" spans="1:27" ht="15.75" customHeight="1" x14ac:dyDescent="0.25">
      <c r="A15" s="15" t="s">
        <v>124</v>
      </c>
      <c r="B15" s="15">
        <v>65</v>
      </c>
      <c r="C15" s="16">
        <v>65</v>
      </c>
      <c r="D15" s="9">
        <f t="shared" si="0"/>
        <v>0</v>
      </c>
    </row>
    <row r="16" spans="1:27" ht="15.75" customHeight="1" x14ac:dyDescent="0.25">
      <c r="A16" s="15" t="s">
        <v>126</v>
      </c>
      <c r="B16" s="15">
        <v>55</v>
      </c>
      <c r="C16" s="16">
        <v>30</v>
      </c>
      <c r="D16" s="9">
        <f t="shared" si="0"/>
        <v>0</v>
      </c>
    </row>
    <row r="17" spans="1:4" ht="15.75" customHeight="1" x14ac:dyDescent="0.25">
      <c r="A17" s="15" t="s">
        <v>127</v>
      </c>
      <c r="B17" s="15">
        <v>70</v>
      </c>
      <c r="C17" s="10" t="str">
        <f>""</f>
        <v/>
      </c>
      <c r="D17" s="9">
        <f t="shared" si="0"/>
        <v>0</v>
      </c>
    </row>
    <row r="18" spans="1:4" ht="15.75" customHeight="1" x14ac:dyDescent="0.25">
      <c r="A18" s="15" t="s">
        <v>125</v>
      </c>
      <c r="B18" s="15">
        <v>45</v>
      </c>
      <c r="C18" s="16">
        <v>80</v>
      </c>
      <c r="D18" s="9">
        <f t="shared" si="0"/>
        <v>0</v>
      </c>
    </row>
    <row r="19" spans="1:4" ht="15.75" customHeight="1" x14ac:dyDescent="0.25">
      <c r="A19" s="15" t="s">
        <v>124</v>
      </c>
      <c r="B19" s="15">
        <v>25</v>
      </c>
      <c r="C19" s="16">
        <v>60</v>
      </c>
      <c r="D19" s="9">
        <f t="shared" si="0"/>
        <v>0</v>
      </c>
    </row>
    <row r="20" spans="1:4" ht="15.75" customHeight="1" x14ac:dyDescent="0.25">
      <c r="A20" s="15" t="s">
        <v>125</v>
      </c>
      <c r="B20" s="15">
        <v>35</v>
      </c>
      <c r="C20" s="10" t="str">
        <f>""</f>
        <v/>
      </c>
      <c r="D20" s="9">
        <f t="shared" si="0"/>
        <v>0</v>
      </c>
    </row>
    <row r="21" spans="1:4" ht="15.75" customHeight="1" x14ac:dyDescent="0.25">
      <c r="A21" s="15" t="s">
        <v>126</v>
      </c>
      <c r="B21" s="15">
        <v>60</v>
      </c>
      <c r="C21" s="16">
        <v>30</v>
      </c>
      <c r="D21" s="9">
        <f t="shared" si="0"/>
        <v>0</v>
      </c>
    </row>
    <row r="22" spans="1:4" ht="15.75" customHeight="1" x14ac:dyDescent="0.25">
      <c r="A22" s="15" t="s">
        <v>124</v>
      </c>
      <c r="B22" s="15">
        <v>70</v>
      </c>
      <c r="C22" s="16">
        <v>40</v>
      </c>
      <c r="D22" s="9">
        <f t="shared" si="0"/>
        <v>0</v>
      </c>
    </row>
    <row r="23" spans="1:4" ht="15.75" customHeight="1" x14ac:dyDescent="0.25">
      <c r="A23" s="15" t="s">
        <v>125</v>
      </c>
      <c r="B23" s="15">
        <v>45</v>
      </c>
      <c r="C23" s="16">
        <v>55</v>
      </c>
      <c r="D23" s="9">
        <f t="shared" si="0"/>
        <v>0</v>
      </c>
    </row>
    <row r="24" spans="1:4" ht="15.75" customHeight="1" x14ac:dyDescent="0.25">
      <c r="A24" s="15" t="s">
        <v>127</v>
      </c>
      <c r="B24" s="15">
        <v>25</v>
      </c>
      <c r="C24" s="16">
        <v>70</v>
      </c>
      <c r="D24" s="9">
        <f t="shared" si="0"/>
        <v>0</v>
      </c>
    </row>
    <row r="25" spans="1:4" ht="15.75" customHeight="1" x14ac:dyDescent="0.25">
      <c r="A25" s="15" t="s">
        <v>128</v>
      </c>
      <c r="B25" s="15">
        <v>35</v>
      </c>
      <c r="C25" s="10" t="str">
        <f>""</f>
        <v/>
      </c>
      <c r="D25" s="9">
        <f t="shared" si="0"/>
        <v>0</v>
      </c>
    </row>
    <row r="26" spans="1:4" ht="15.75" customHeight="1" x14ac:dyDescent="0.25">
      <c r="A26" s="15" t="s">
        <v>126</v>
      </c>
      <c r="B26" s="15">
        <v>60</v>
      </c>
      <c r="C26" s="16">
        <v>50</v>
      </c>
      <c r="D26" s="9">
        <f t="shared" si="0"/>
        <v>0</v>
      </c>
    </row>
    <row r="27" spans="1:4" ht="15.75" customHeight="1" x14ac:dyDescent="0.25">
      <c r="A27" s="15" t="s">
        <v>125</v>
      </c>
      <c r="B27" s="15">
        <v>80</v>
      </c>
      <c r="C27" s="16">
        <v>95</v>
      </c>
      <c r="D27" s="9">
        <f t="shared" si="0"/>
        <v>0</v>
      </c>
    </row>
    <row r="28" spans="1:4" ht="15.75" customHeight="1" x14ac:dyDescent="0.25">
      <c r="A28" s="15" t="s">
        <v>124</v>
      </c>
      <c r="B28" s="15">
        <v>40</v>
      </c>
      <c r="C28" s="16">
        <v>75</v>
      </c>
      <c r="D28" s="9">
        <f t="shared" si="0"/>
        <v>0</v>
      </c>
    </row>
    <row r="29" spans="1:4" ht="15.75" customHeight="1" x14ac:dyDescent="0.25">
      <c r="A29" s="15" t="s">
        <v>126</v>
      </c>
      <c r="B29" s="15">
        <v>65</v>
      </c>
      <c r="C29" s="16">
        <v>45</v>
      </c>
      <c r="D29" s="9">
        <f t="shared" si="0"/>
        <v>0</v>
      </c>
    </row>
    <row r="30" spans="1:4" ht="15.75" customHeight="1" x14ac:dyDescent="0.25">
      <c r="A30" s="15" t="s">
        <v>125</v>
      </c>
      <c r="B30" s="15">
        <v>55</v>
      </c>
      <c r="C30" s="16">
        <v>65</v>
      </c>
      <c r="D30" s="9">
        <f t="shared" si="0"/>
        <v>0</v>
      </c>
    </row>
    <row r="31" spans="1:4" ht="15.75" customHeight="1" x14ac:dyDescent="0.25">
      <c r="A31" s="15" t="s">
        <v>127</v>
      </c>
      <c r="B31" s="15">
        <v>70</v>
      </c>
      <c r="C31" s="16">
        <v>30</v>
      </c>
      <c r="D31" s="9">
        <f t="shared" si="0"/>
        <v>0</v>
      </c>
    </row>
    <row r="32" spans="1:4" ht="15.75" customHeight="1" x14ac:dyDescent="0.25">
      <c r="A32" s="15" t="s">
        <v>124</v>
      </c>
      <c r="B32" s="15">
        <v>45</v>
      </c>
      <c r="C32" s="10" t="str">
        <f>""</f>
        <v/>
      </c>
      <c r="D32" s="9">
        <f t="shared" si="0"/>
        <v>0</v>
      </c>
    </row>
    <row r="33" spans="1:4" ht="15.75" customHeight="1" x14ac:dyDescent="0.25">
      <c r="A33" s="15" t="s">
        <v>125</v>
      </c>
      <c r="B33" s="15">
        <v>25</v>
      </c>
      <c r="C33" s="16">
        <v>80</v>
      </c>
      <c r="D33" s="9">
        <f t="shared" si="0"/>
        <v>0</v>
      </c>
    </row>
    <row r="34" spans="1:4" ht="15.75" customHeight="1" x14ac:dyDescent="0.25">
      <c r="A34" s="15" t="s">
        <v>126</v>
      </c>
      <c r="B34" s="15">
        <v>35</v>
      </c>
      <c r="C34" s="16">
        <v>60</v>
      </c>
      <c r="D34" s="9">
        <f t="shared" si="0"/>
        <v>0</v>
      </c>
    </row>
    <row r="35" spans="1:4" ht="15.75" customHeight="1" x14ac:dyDescent="0.25">
      <c r="A35" s="15" t="s">
        <v>124</v>
      </c>
      <c r="B35" s="15">
        <v>60</v>
      </c>
      <c r="C35" s="16">
        <v>100</v>
      </c>
      <c r="D35" s="9">
        <f t="shared" si="0"/>
        <v>0</v>
      </c>
    </row>
    <row r="36" spans="1:4" ht="15.75" customHeight="1" x14ac:dyDescent="0.25">
      <c r="A36" s="15" t="s">
        <v>125</v>
      </c>
      <c r="B36" s="15">
        <v>80</v>
      </c>
      <c r="C36" s="16">
        <v>30</v>
      </c>
      <c r="D36" s="9">
        <f t="shared" si="0"/>
        <v>0</v>
      </c>
    </row>
    <row r="37" spans="1:4" ht="12.5" x14ac:dyDescent="0.25">
      <c r="A37" s="15" t="s">
        <v>127</v>
      </c>
      <c r="B37" s="15">
        <v>40</v>
      </c>
      <c r="C37" s="10" t="str">
        <f>""</f>
        <v/>
      </c>
      <c r="D37" s="9">
        <f t="shared" si="0"/>
        <v>0</v>
      </c>
    </row>
    <row r="38" spans="1:4" ht="12.5" x14ac:dyDescent="0.25">
      <c r="A38" s="15" t="s">
        <v>128</v>
      </c>
      <c r="B38" s="15">
        <v>65</v>
      </c>
      <c r="C38" s="16">
        <v>55</v>
      </c>
      <c r="D38" s="9">
        <f t="shared" si="0"/>
        <v>0</v>
      </c>
    </row>
    <row r="39" spans="1:4" ht="12.5" x14ac:dyDescent="0.25">
      <c r="A39" s="15" t="s">
        <v>126</v>
      </c>
      <c r="B39" s="15">
        <v>55</v>
      </c>
      <c r="C39" s="16">
        <v>70</v>
      </c>
      <c r="D39" s="9">
        <f t="shared" si="0"/>
        <v>0</v>
      </c>
    </row>
    <row r="40" spans="1:4" ht="12.5" x14ac:dyDescent="0.25">
      <c r="A40" s="15" t="s">
        <v>125</v>
      </c>
      <c r="B40" s="15">
        <v>70</v>
      </c>
      <c r="C40" s="16">
        <v>85</v>
      </c>
      <c r="D40" s="9">
        <f t="shared" si="0"/>
        <v>0</v>
      </c>
    </row>
    <row r="41" spans="1:4" ht="12.5" x14ac:dyDescent="0.25">
      <c r="A41" s="15" t="s">
        <v>124</v>
      </c>
      <c r="B41" s="15">
        <v>40</v>
      </c>
      <c r="C41" s="16">
        <v>50</v>
      </c>
      <c r="D41" s="9">
        <f t="shared" si="0"/>
        <v>0</v>
      </c>
    </row>
    <row r="42" spans="1:4" ht="12.5" x14ac:dyDescent="0.25">
      <c r="A42" s="15" t="s">
        <v>126</v>
      </c>
      <c r="B42" s="15">
        <v>20</v>
      </c>
      <c r="C42" s="16">
        <v>95</v>
      </c>
      <c r="D42" s="9">
        <f t="shared" si="0"/>
        <v>0</v>
      </c>
    </row>
    <row r="43" spans="1:4" ht="12.5" x14ac:dyDescent="0.25">
      <c r="A43" s="15" t="s">
        <v>125</v>
      </c>
      <c r="B43" s="15">
        <v>90</v>
      </c>
      <c r="C43" s="16">
        <v>75</v>
      </c>
      <c r="D43" s="9">
        <f t="shared" si="0"/>
        <v>1</v>
      </c>
    </row>
    <row r="44" spans="1:4" ht="12.5" x14ac:dyDescent="0.25">
      <c r="A44" s="15" t="s">
        <v>127</v>
      </c>
      <c r="B44" s="15">
        <v>50</v>
      </c>
      <c r="C44" s="16">
        <v>45</v>
      </c>
      <c r="D44" s="9">
        <f t="shared" si="0"/>
        <v>0</v>
      </c>
    </row>
    <row r="45" spans="1:4" ht="12.5" x14ac:dyDescent="0.25">
      <c r="A45" s="15" t="s">
        <v>124</v>
      </c>
      <c r="B45" s="15">
        <v>60</v>
      </c>
      <c r="C45" s="16">
        <v>65</v>
      </c>
      <c r="D45" s="9">
        <f t="shared" si="0"/>
        <v>0</v>
      </c>
    </row>
    <row r="46" spans="1:4" ht="12.5" x14ac:dyDescent="0.25">
      <c r="A46" s="15" t="s">
        <v>125</v>
      </c>
      <c r="B46" s="15">
        <v>45</v>
      </c>
      <c r="C46" s="10" t="str">
        <f>""</f>
        <v/>
      </c>
      <c r="D46" s="9">
        <f t="shared" si="0"/>
        <v>0</v>
      </c>
    </row>
    <row r="47" spans="1:4" ht="12.5" x14ac:dyDescent="0.25">
      <c r="A47" s="15" t="s">
        <v>126</v>
      </c>
      <c r="B47" s="15">
        <v>25</v>
      </c>
      <c r="C47" s="10" t="str">
        <f>""</f>
        <v/>
      </c>
      <c r="D47" s="9">
        <f t="shared" si="0"/>
        <v>0</v>
      </c>
    </row>
  </sheetData>
  <autoFilter ref="A1:D1" xr:uid="{00000000-0001-0000-0100-000000000000}"/>
  <dataValidations count="1">
    <dataValidation type="list" allowBlank="1" showInputMessage="1" showErrorMessage="1" sqref="F3:F7" xr:uid="{74BE6218-7085-40A2-B878-67783534FDB4}">
      <formula1>$A$2:$A$47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3e2fe1-4846-4393-8cf2-1bc71a04fd88}" enabled="1" method="Privilege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Flavio Zanotti</cp:lastModifiedBy>
  <dcterms:modified xsi:type="dcterms:W3CDTF">2025-11-03T21:21:23Z</dcterms:modified>
</cp:coreProperties>
</file>